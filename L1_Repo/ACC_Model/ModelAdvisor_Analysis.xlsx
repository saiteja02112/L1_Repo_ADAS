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ools\Source_Code\proj2304_vmaac_development\AdditionalTools\Model_Advisor_CommandLine\Template\"/>
    </mc:Choice>
  </mc:AlternateContent>
  <bookViews>
    <workbookView xWindow="580" yWindow="100" windowWidth="17950" windowHeight="8750" activeTab="2"/>
  </bookViews>
  <sheets>
    <sheet name="Document Control" sheetId="8" r:id="rId1"/>
    <sheet name="Header" sheetId="1" r:id="rId2"/>
    <sheet name="ModelAdvisorResults" sheetId="4" r:id="rId3"/>
    <sheet name="Config" sheetId="6" r:id="rId4"/>
    <sheet name="Template_History" sheetId="7" r:id="rId5"/>
  </sheets>
  <definedNames>
    <definedName name="_xlnm._FilterDatabase" localSheetId="2" hidden="true">ModelAdvisorResults!$A$13:$ZZ$13</definedName>
  </definedNames>
  <calcPr calcId="162913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<sst xmlns="http://schemas.openxmlformats.org/spreadsheetml/2006/main" xmlns:r="http://schemas.openxmlformats.org/officeDocument/2006/relationships" xmlns:xdr="http://schemas.openxmlformats.org/drawingml/2006/spreadsheetDrawing" count="2555" uniqueCount="883">
  <si>
    <t>First Check</t>
  </si>
  <si>
    <t>Last Check</t>
  </si>
  <si>
    <t>Inc Check</t>
  </si>
  <si>
    <t>System Name</t>
  </si>
  <si>
    <t>Overview</t>
  </si>
  <si>
    <t>Configuration</t>
  </si>
  <si>
    <t xml:space="preserve"> </t>
  </si>
  <si>
    <t>NB runs</t>
  </si>
  <si>
    <t>YES</t>
  </si>
  <si>
    <t>Check Nb Changes</t>
  </si>
  <si>
    <t>NB checks (last run)</t>
  </si>
  <si>
    <t>Failed</t>
  </si>
  <si>
    <t>Not Run</t>
  </si>
  <si>
    <t>Total</t>
  </si>
  <si>
    <t>Statistics</t>
  </si>
  <si>
    <t>Version</t>
  </si>
  <si>
    <t>Date</t>
  </si>
  <si>
    <t>STK -Added version sheet. Statistics formula update</t>
  </si>
  <si>
    <t>Changes</t>
  </si>
  <si>
    <t>VMAAC Document Control</t>
  </si>
  <si>
    <t>VIAS-T-013</t>
  </si>
  <si>
    <t>Template History</t>
  </si>
  <si>
    <t>About this document</t>
  </si>
  <si>
    <t>This template is based on:</t>
  </si>
  <si>
    <t>Template ID:</t>
  </si>
  <si>
    <t>VIAS-T-032</t>
  </si>
  <si>
    <t xml:space="preserve">Template Version: </t>
  </si>
  <si>
    <t>Revision</t>
  </si>
  <si>
    <t>Author</t>
  </si>
  <si>
    <t>Change Description</t>
  </si>
  <si>
    <t>Location</t>
  </si>
  <si>
    <t>Ahmed Aboalella</t>
  </si>
  <si>
    <t>Initial Release</t>
  </si>
  <si>
    <t>Mostafa Koratum</t>
  </si>
  <si>
    <t>Approval</t>
  </si>
  <si>
    <t>Approvals</t>
  </si>
  <si>
    <t>Name</t>
  </si>
  <si>
    <t>Title</t>
  </si>
  <si>
    <t>Signature</t>
  </si>
  <si>
    <t>Prepared By</t>
  </si>
  <si>
    <t>SW Engineer</t>
  </si>
  <si>
    <t>AABO</t>
  </si>
  <si>
    <t>Approved By</t>
  </si>
  <si>
    <t>MBD Team Leader</t>
  </si>
  <si>
    <t>MKOR</t>
  </si>
  <si>
    <t>Document History</t>
  </si>
  <si>
    <t xml:space="preserve">This document is based on: </t>
  </si>
  <si>
    <t>Passed</t>
  </si>
  <si>
    <t>Warning</t>
  </si>
  <si>
    <t>Justified</t>
  </si>
  <si>
    <t>Information</t>
  </si>
  <si>
    <t>Incomplete</t>
  </si>
  <si>
    <t>ACC</t>
  </si>
  <si>
    <t>05-Jul-2026 21:22:53</t>
  </si>
  <si>
    <t>406</t>
  </si>
  <si>
    <t>Justification</t>
  </si>
  <si>
    <t>Notes</t>
  </si>
  <si>
    <t>According to Mathworks, Check result doesn''t reflect the actual Cyclomatic Complexity. It may produce fake result.</t>
  </si>
  <si>
    <t>Check ID</t>
  </si>
  <si>
    <t>com.mathworks.sorting.datastorecheck</t>
  </si>
  <si>
    <t>mathworks.cloneDetection.libraryEdittime</t>
  </si>
  <si>
    <t>mathworks.codegen.CodeGenSanity</t>
  </si>
  <si>
    <t>mathworks.codegen.ConstraintsTunableParam</t>
  </si>
  <si>
    <t>mathworks.codegen.HWImplementation</t>
  </si>
  <si>
    <t>mathworks.codegen.QuestionableSubsysSetting</t>
  </si>
  <si>
    <t>mathworks.codegen.SampleTimesTaskingMode</t>
  </si>
  <si>
    <t>mathworks.codegen.checkEnableMemcpy</t>
  </si>
  <si>
    <t>mathworks.design.AmbiguousUnits</t>
  </si>
  <si>
    <t>mathworks.design.AutoUnitConversions</t>
  </si>
  <si>
    <t>mathworks.design.BusTreatedAsVector</t>
  </si>
  <si>
    <t>mathworks.design.CSStoVSSConvert</t>
  </si>
  <si>
    <t>mathworks.design.CallsGetParamCompiledSampleTime</t>
  </si>
  <si>
    <t>mathworks.design.CallslDataTypeAndScale</t>
  </si>
  <si>
    <t>mathworks.design.CaseSensitiveBlockDiagramNames</t>
  </si>
  <si>
    <t>mathworks.design.CheckAndUpdateOldMaskTabnames</t>
  </si>
  <si>
    <t>mathworks.design.CheckAndUpdateOldMaskedBuiltinBlocks</t>
  </si>
  <si>
    <t>mathworks.design.CheckConstRootOutportWithInterfaceUpgrade</t>
  </si>
  <si>
    <t>mathworks.design.CheckExpFcnMdlSpecification</t>
  </si>
  <si>
    <t>mathworks.design.CheckForProperFcnCallUsage</t>
  </si>
  <si>
    <t>mathworks.design.CheckForSFcnUpgradeIssues</t>
  </si>
  <si>
    <t>mathworks.design.CheckMaskDisplayImageFormat</t>
  </si>
  <si>
    <t>mathworks.design.CheckMaskRunInitFlag</t>
  </si>
  <si>
    <t>mathworks.design.CheckRapidAcceleratorSignalLogging</t>
  </si>
  <si>
    <t>mathworks.design.CheckSLXFileCompressionLevel</t>
  </si>
  <si>
    <t>mathworks.design.CheckSavedInCurrentVersion</t>
  </si>
  <si>
    <t>mathworks.design.CheckSingleSimulationOutput</t>
  </si>
  <si>
    <t>mathworks.design.CheckSystemObjectUpdate</t>
  </si>
  <si>
    <t>mathworks.design.CheckVirtualBusAcrossModelReference</t>
  </si>
  <si>
    <t>mathworks.design.CheckVirtualBusAcrossModelReferenceArgs</t>
  </si>
  <si>
    <t>mathworks.design.ConvertMdlrefVarToVSS</t>
  </si>
  <si>
    <t>mathworks.design.DataStoreBlkSampleTime</t>
  </si>
  <si>
    <t>mathworks.design.DataStoreMemoryBlkIssue</t>
  </si>
  <si>
    <t>mathworks.design.DelayedFcnCallSubsys</t>
  </si>
  <si>
    <t>mathworks.design.DiagnosticDataStoreBlk</t>
  </si>
  <si>
    <t>mathworks.design.DiagnosticSFcn</t>
  </si>
  <si>
    <t>mathworks.design.DisabledLibLinks</t>
  </si>
  <si>
    <t>mathworks.design.DisallowedUnitSystems</t>
  </si>
  <si>
    <t>mathworks.design.DiscreteBlock</t>
  </si>
  <si>
    <t>mathworks.design.DiscreteTimeIntegratorInitCondition</t>
  </si>
  <si>
    <t>mathworks.design.ImplicitSignalResolution</t>
  </si>
  <si>
    <t>mathworks.design.InitParamOutportMergeBlk</t>
  </si>
  <si>
    <t>mathworks.design.MergeBlkUsage</t>
  </si>
  <si>
    <t>mathworks.design.MismatchedBusParams</t>
  </si>
  <si>
    <t>mathworks.design.ModelInfoKeywordSubstitution</t>
  </si>
  <si>
    <t>mathworks.design.ModelLevelMessages</t>
  </si>
  <si>
    <t>mathworks.design.ModelRefSIMConfigCompliance</t>
  </si>
  <si>
    <t>mathworks.design.NonContSigDerivPort</t>
  </si>
  <si>
    <t>mathworks.design.OptBusVirtuality</t>
  </si>
  <si>
    <t>mathworks.design.OptimizationSettings</t>
  </si>
  <si>
    <t>mathworks.design.OrderingDataStoreAccess</t>
  </si>
  <si>
    <t>mathworks.design.OutputSignalSampleTime</t>
  </si>
  <si>
    <t>mathworks.design.ParamTunabilityIgnored</t>
  </si>
  <si>
    <t>mathworks.design.ParameterTuning</t>
  </si>
  <si>
    <t>mathworks.design.ParameterizedLibLinks</t>
  </si>
  <si>
    <t>mathworks.design.ReplaceEnvironmentControllerBlk</t>
  </si>
  <si>
    <t>mathworks.design.ReplaceZOHDelayByRTB</t>
  </si>
  <si>
    <t>mathworks.design.RootInportSpec</t>
  </si>
  <si>
    <t>mathworks.design.SFuncAnalyzer</t>
  </si>
  <si>
    <t>mathworks.design.SLXModelProperties</t>
  </si>
  <si>
    <t>mathworks.design.Sigbldr.upgradeCheck</t>
  </si>
  <si>
    <t>mathworks.design.StowawayDoubles</t>
  </si>
  <si>
    <t>mathworks.design.UnconnectedLinesPorts</t>
  </si>
  <si>
    <t>mathworks.design.UndefinedUnits</t>
  </si>
  <si>
    <t>mathworks.design.UnitMismatches</t>
  </si>
  <si>
    <t>mathworks.design.UnresolvedLibLinks</t>
  </si>
  <si>
    <t>mathworks.design.Update</t>
  </si>
  <si>
    <t>mathworks.design.UpdateRequireCompile</t>
  </si>
  <si>
    <t>mathworks.design.VirtualBusUsage</t>
  </si>
  <si>
    <t>mathworks.design.emptyVariantObject</t>
  </si>
  <si>
    <t>mathworks.do178.LogicBlockUsage</t>
  </si>
  <si>
    <t>mathworks.do178.MathBlksUsage</t>
  </si>
  <si>
    <t>mathworks.do178.MathOperationsBlocksUsage</t>
  </si>
  <si>
    <t>mathworks.do178.MdlChecksum</t>
  </si>
  <si>
    <t>mathworks.do178.OptionSet</t>
  </si>
  <si>
    <t>mathworks.do178.PortsSubsystemsUsage</t>
  </si>
  <si>
    <t>mathworks.hism.himl_0001</t>
  </si>
  <si>
    <t>mathworks.hism.himl_0002</t>
  </si>
  <si>
    <t>mathworks.hism.himl_0003</t>
  </si>
  <si>
    <t>mathworks.hism.himl_0006</t>
  </si>
  <si>
    <t>mathworks.hism.himl_0007</t>
  </si>
  <si>
    <t>mathworks.hism.himl_0008</t>
  </si>
  <si>
    <t>mathworks.hism.himl_0009</t>
  </si>
  <si>
    <t>mathworks.hism.himl_0010</t>
  </si>
  <si>
    <t>mathworks.hism.himl_0011</t>
  </si>
  <si>
    <t>mathworks.hism.hisf_0001</t>
  </si>
  <si>
    <t>mathworks.hism.hisf_0003</t>
  </si>
  <si>
    <t>mathworks.hism.hisf_0009</t>
  </si>
  <si>
    <t>mathworks.hism.hisf_0011</t>
  </si>
  <si>
    <t>mathworks.hism.hisf_0013</t>
  </si>
  <si>
    <t>mathworks.hism.hisf_0014</t>
  </si>
  <si>
    <t>mathworks.hism.hisf_0015</t>
  </si>
  <si>
    <t>mathworks.hism.hisf_0016</t>
  </si>
  <si>
    <t>mathworks.hism.hisf_0017</t>
  </si>
  <si>
    <t>mathworks.hism.hisf_0064</t>
  </si>
  <si>
    <t>mathworks.hism.hisf_0065</t>
  </si>
  <si>
    <t>mathworks.hism.hisf_0211</t>
  </si>
  <si>
    <t>mathworks.hism.hisl_0001</t>
  </si>
  <si>
    <t>mathworks.hism.hisl_0002</t>
  </si>
  <si>
    <t>mathworks.hism.hisl_0004</t>
  </si>
  <si>
    <t>mathworks.hism.hisl_0006</t>
  </si>
  <si>
    <t>mathworks.hism.hisl_0007</t>
  </si>
  <si>
    <t>mathworks.hism.hisl_0008</t>
  </si>
  <si>
    <t>mathworks.hism.hisl_0010</t>
  </si>
  <si>
    <t>mathworks.hism.hisl_0011</t>
  </si>
  <si>
    <t>mathworks.hism.hisl_0013</t>
  </si>
  <si>
    <t>mathworks.hism.hisl_0015</t>
  </si>
  <si>
    <t>mathworks.hism.hisl_0016</t>
  </si>
  <si>
    <t>mathworks.hism.hisl_0017</t>
  </si>
  <si>
    <t>mathworks.hism.hisl_0018</t>
  </si>
  <si>
    <t>mathworks.hism.hisl_0019</t>
  </si>
  <si>
    <t>mathworks.hism.hisl_0021</t>
  </si>
  <si>
    <t>mathworks.hism.hisl_0022</t>
  </si>
  <si>
    <t>mathworks.hism.hisl_0024</t>
  </si>
  <si>
    <t>mathworks.hism.hisl_0025</t>
  </si>
  <si>
    <t>mathworks.hism.hisl_0026</t>
  </si>
  <si>
    <t>mathworks.hism.hisl_0031</t>
  </si>
  <si>
    <t>mathworks.hism.hisl_0032</t>
  </si>
  <si>
    <t>mathworks.hism.hisl_0033</t>
  </si>
  <si>
    <t>mathworks.hism.hisl_0034</t>
  </si>
  <si>
    <t>mathworks.hism.hisl_0036</t>
  </si>
  <si>
    <t>mathworks.hism.hisl_0037</t>
  </si>
  <si>
    <t>mathworks.hism.hisl_0040</t>
  </si>
  <si>
    <t>mathworks.hism.hisl_0041</t>
  </si>
  <si>
    <t>mathworks.hism.hisl_0042</t>
  </si>
  <si>
    <t>mathworks.hism.hisl_0043</t>
  </si>
  <si>
    <t>mathworks.hism.hisl_0044</t>
  </si>
  <si>
    <t>mathworks.hism.hisl_0045</t>
  </si>
  <si>
    <t>mathworks.hism.hisl_0048</t>
  </si>
  <si>
    <t>mathworks.hism.hisl_0052</t>
  </si>
  <si>
    <t>mathworks.hism.hisl_0053</t>
  </si>
  <si>
    <t>mathworks.hism.hisl_0054</t>
  </si>
  <si>
    <t>mathworks.hism.hisl_0056</t>
  </si>
  <si>
    <t>mathworks.hism.hisl_0061</t>
  </si>
  <si>
    <t>mathworks.hism.hisl_0062</t>
  </si>
  <si>
    <t>mathworks.hism.hisl_0063</t>
  </si>
  <si>
    <t>mathworks.hism.hisl_0066</t>
  </si>
  <si>
    <t>mathworks.hism.hisl_0070</t>
  </si>
  <si>
    <t>mathworks.hism.hisl_0071</t>
  </si>
  <si>
    <t>mathworks.hism.hisl_0072</t>
  </si>
  <si>
    <t>mathworks.hism.hisl_0073</t>
  </si>
  <si>
    <t>mathworks.hism.hisl_0074</t>
  </si>
  <si>
    <t>mathworks.hism.hisl_0075</t>
  </si>
  <si>
    <t>mathworks.hism.hisl_0077</t>
  </si>
  <si>
    <t>mathworks.hism.hisl_0079</t>
  </si>
  <si>
    <t>mathworks.hism.hisl_0102</t>
  </si>
  <si>
    <t>mathworks.hism.hisl_0301</t>
  </si>
  <si>
    <t>mathworks.hism.hisl_0302</t>
  </si>
  <si>
    <t>mathworks.hism.hisl_0303</t>
  </si>
  <si>
    <t>mathworks.hism.hisl_0304</t>
  </si>
  <si>
    <t>mathworks.hism.hisl_0305</t>
  </si>
  <si>
    <t>mathworks.hism.hisl_0306</t>
  </si>
  <si>
    <t>mathworks.hism.hisl_0307</t>
  </si>
  <si>
    <t>mathworks.hism.hisl_0308</t>
  </si>
  <si>
    <t>mathworks.hism.hisl_0309</t>
  </si>
  <si>
    <t>mathworks.hism.hisl_0310</t>
  </si>
  <si>
    <t>mathworks.hism.hisl_0311</t>
  </si>
  <si>
    <t>mathworks.hism.hisl_0314</t>
  </si>
  <si>
    <t>mathworks.iec61508.LogicBlockUsage</t>
  </si>
  <si>
    <t>mathworks.iec61508.MathOperationsBlocksUsage</t>
  </si>
  <si>
    <t>mathworks.iec61508.MdlMetricsInfo</t>
  </si>
  <si>
    <t>mathworks.iec61508.MdlVersionInfo</t>
  </si>
  <si>
    <t>mathworks.iec61508.PortsSubsystemsUsage</t>
  </si>
  <si>
    <t>mathworks.iec61508.QuestionableBlks</t>
  </si>
  <si>
    <t>mathworks.iec61508.StateflowProperUsage</t>
  </si>
  <si>
    <t>mathworks.iec61508.UnconnectedObjects</t>
  </si>
  <si>
    <t>mathworks.jmaab.ar_0001</t>
  </si>
  <si>
    <t>mathworks.jmaab.db_0032</t>
  </si>
  <si>
    <t>mathworks.jmaab.db_0042</t>
  </si>
  <si>
    <t>mathworks.jmaab.db_0043</t>
  </si>
  <si>
    <t>mathworks.jmaab.db_0081</t>
  </si>
  <si>
    <t>mathworks.jmaab.db_0097</t>
  </si>
  <si>
    <t>mathworks.jmaab.db_0112</t>
  </si>
  <si>
    <t>mathworks.jmaab.db_0122</t>
  </si>
  <si>
    <t>mathworks.jmaab.db_0125</t>
  </si>
  <si>
    <t>mathworks.jmaab.db_0126</t>
  </si>
  <si>
    <t>mathworks.jmaab.db_0127</t>
  </si>
  <si>
    <t>mathworks.jmaab.db_0129</t>
  </si>
  <si>
    <t>mathworks.jmaab.db_0132</t>
  </si>
  <si>
    <t>mathworks.jmaab.db_0137</t>
  </si>
  <si>
    <t>mathworks.jmaab.db_0141</t>
  </si>
  <si>
    <t>mathworks.jmaab.db_0146</t>
  </si>
  <si>
    <t>mathworks.jmaab.jc_0008</t>
  </si>
  <si>
    <t>mathworks.jmaab.jc_0009</t>
  </si>
  <si>
    <t>mathworks.jmaab.jc_0110</t>
  </si>
  <si>
    <t>mathworks.jmaab.jc_0121</t>
  </si>
  <si>
    <t>mathworks.jmaab.jc_0161</t>
  </si>
  <si>
    <t>mathworks.jmaab.jc_0171</t>
  </si>
  <si>
    <t>mathworks.jmaab.jc_0201</t>
  </si>
  <si>
    <t>mathworks.jmaab.jc_0211</t>
  </si>
  <si>
    <t>mathworks.jmaab.jc_0222</t>
  </si>
  <si>
    <t>mathworks.jmaab.jc_0231</t>
  </si>
  <si>
    <t>mathworks.jmaab.jc_0232</t>
  </si>
  <si>
    <t>mathworks.jmaab.jc_0241</t>
  </si>
  <si>
    <t>mathworks.jmaab.jc_0242</t>
  </si>
  <si>
    <t>mathworks.jmaab.jc_0243</t>
  </si>
  <si>
    <t>mathworks.jmaab.jc_0244</t>
  </si>
  <si>
    <t>mathworks.jmaab.jc_0245</t>
  </si>
  <si>
    <t>mathworks.jmaab.jc_0246</t>
  </si>
  <si>
    <t>mathworks.jmaab.jc_0247</t>
  </si>
  <si>
    <t>mathworks.jmaab.jc_0281</t>
  </si>
  <si>
    <t>mathworks.jmaab.jc_0501</t>
  </si>
  <si>
    <t>mathworks.jmaab.jc_0531</t>
  </si>
  <si>
    <t>mathworks.jmaab.jc_0602</t>
  </si>
  <si>
    <t>mathworks.jmaab.jc_0603</t>
  </si>
  <si>
    <t>mathworks.jmaab.jc_0604</t>
  </si>
  <si>
    <t>mathworks.jmaab.jc_0610</t>
  </si>
  <si>
    <t>mathworks.jmaab.jc_0611</t>
  </si>
  <si>
    <t>mathworks.jmaab.jc_0621</t>
  </si>
  <si>
    <t>mathworks.jmaab.jc_0622</t>
  </si>
  <si>
    <t>mathworks.jmaab.jc_0623</t>
  </si>
  <si>
    <t>mathworks.jmaab.jc_0624</t>
  </si>
  <si>
    <t>mathworks.jmaab.jc_0626</t>
  </si>
  <si>
    <t>mathworks.jmaab.jc_0627</t>
  </si>
  <si>
    <t>mathworks.jmaab.jc_0628</t>
  </si>
  <si>
    <t>mathworks.jmaab.jc_0630</t>
  </si>
  <si>
    <t>mathworks.jmaab.jc_0640</t>
  </si>
  <si>
    <t>mathworks.jmaab.jc_0641</t>
  </si>
  <si>
    <t>mathworks.jmaab.jc_0642</t>
  </si>
  <si>
    <t>mathworks.jmaab.jc_0643</t>
  </si>
  <si>
    <t>mathworks.jmaab.jc_0644</t>
  </si>
  <si>
    <t>mathworks.jmaab.jc_0645</t>
  </si>
  <si>
    <t>mathworks.jmaab.jc_0650</t>
  </si>
  <si>
    <t>mathworks.jmaab.jc_0651</t>
  </si>
  <si>
    <t>mathworks.jmaab.jc_0653</t>
  </si>
  <si>
    <t>mathworks.jmaab.jc_0655</t>
  </si>
  <si>
    <t>mathworks.jmaab.jc_0656</t>
  </si>
  <si>
    <t>mathworks.jmaab.jc_0659</t>
  </si>
  <si>
    <t>mathworks.jmaab.jc_0700</t>
  </si>
  <si>
    <t>mathworks.jmaab.jc_0701</t>
  </si>
  <si>
    <t>mathworks.jmaab.jc_0702</t>
  </si>
  <si>
    <t>mathworks.jmaab.jc_0712</t>
  </si>
  <si>
    <t>mathworks.jmaab.jc_0721</t>
  </si>
  <si>
    <t>mathworks.jmaab.jc_0722</t>
  </si>
  <si>
    <t>mathworks.jmaab.jc_0723</t>
  </si>
  <si>
    <t>mathworks.jmaab.jc_0730</t>
  </si>
  <si>
    <t>mathworks.jmaab.jc_0731</t>
  </si>
  <si>
    <t>mathworks.jmaab.jc_0732</t>
  </si>
  <si>
    <t>mathworks.jmaab.jc_0733</t>
  </si>
  <si>
    <t>mathworks.jmaab.jc_0734</t>
  </si>
  <si>
    <t>mathworks.jmaab.jc_0736</t>
  </si>
  <si>
    <t>mathworks.jmaab.jc_0738</t>
  </si>
  <si>
    <t>mathworks.jmaab.jc_0739</t>
  </si>
  <si>
    <t>mathworks.jmaab.jc_0740</t>
  </si>
  <si>
    <t>mathworks.jmaab.jc_0741</t>
  </si>
  <si>
    <t>mathworks.jmaab.jc_0751</t>
  </si>
  <si>
    <t>mathworks.jmaab.jc_0752</t>
  </si>
  <si>
    <t>mathworks.jmaab.jc_0753</t>
  </si>
  <si>
    <t>mathworks.jmaab.jc_0760</t>
  </si>
  <si>
    <t>mathworks.jmaab.jc_0762</t>
  </si>
  <si>
    <t>mathworks.jmaab.jc_0763</t>
  </si>
  <si>
    <t>mathworks.jmaab.jc_0770</t>
  </si>
  <si>
    <t>mathworks.jmaab.jc_0771</t>
  </si>
  <si>
    <t>mathworks.jmaab.jc_0772</t>
  </si>
  <si>
    <t>mathworks.jmaab.jc_0773</t>
  </si>
  <si>
    <t>mathworks.jmaab.jc_0774</t>
  </si>
  <si>
    <t>mathworks.jmaab.jc_0775</t>
  </si>
  <si>
    <t>mathworks.jmaab.jc_0790</t>
  </si>
  <si>
    <t>mathworks.jmaab.jc_0791</t>
  </si>
  <si>
    <t>mathworks.jmaab.jc_0792</t>
  </si>
  <si>
    <t>mathworks.jmaab.jc_0795</t>
  </si>
  <si>
    <t>mathworks.jmaab.jc_0796</t>
  </si>
  <si>
    <t>mathworks.jmaab.jc_0797</t>
  </si>
  <si>
    <t>mathworks.jmaab.jc_0800</t>
  </si>
  <si>
    <t>mathworks.jmaab.jc_0801</t>
  </si>
  <si>
    <t>mathworks.jmaab.jc_0802</t>
  </si>
  <si>
    <t>mathworks.jmaab.jc_0804</t>
  </si>
  <si>
    <t>mathworks.jmaab.jc_0806</t>
  </si>
  <si>
    <t>mathworks.jmaab.jm_0012</t>
  </si>
  <si>
    <t>mathworks.jmaab.na_0001</t>
  </si>
  <si>
    <t>mathworks.jmaab.na_0002</t>
  </si>
  <si>
    <t>mathworks.jmaab.na_0010</t>
  </si>
  <si>
    <t>mathworks.jmaab.na_0020</t>
  </si>
  <si>
    <t>mathworks.jmaab.na_0042</t>
  </si>
  <si>
    <t>mathworks.jmaab_v6.ar_0002</t>
  </si>
  <si>
    <t>mathworks.jmaab_v6.db_0032</t>
  </si>
  <si>
    <t>mathworks.jmaab_v6.db_0097</t>
  </si>
  <si>
    <t>mathworks.jmaab_v6.db_0125</t>
  </si>
  <si>
    <t>mathworks.jmaab_v6.db_0127</t>
  </si>
  <si>
    <t>mathworks.jmaab_v6.db_0129</t>
  </si>
  <si>
    <t>mathworks.jmaab_v6.jc_0009</t>
  </si>
  <si>
    <t>mathworks.jmaab_v6.jc_0232</t>
  </si>
  <si>
    <t>mathworks.jmaab_v6.jc_0481</t>
  </si>
  <si>
    <t>mathworks.jmaab_v6.jc_0627</t>
  </si>
  <si>
    <t>mathworks.jmaab_v6.jc_0630</t>
  </si>
  <si>
    <t>mathworks.jmaab_v6.jc_0644</t>
  </si>
  <si>
    <t>mathworks.jmaab_v6.jc_0651</t>
  </si>
  <si>
    <t>mathworks.jmaab_v6.jc_0741</t>
  </si>
  <si>
    <t>mathworks.jmaab_v6.jc_0753</t>
  </si>
  <si>
    <t>mathworks.jmaab_v6.jc_0770</t>
  </si>
  <si>
    <t>mathworks.jmaab_v6.jc_0900</t>
  </si>
  <si>
    <t>mathworks.jmaab_v6.jc_0901</t>
  </si>
  <si>
    <t>mathworks.jmaab_v6.jc_0902</t>
  </si>
  <si>
    <t>mathworks.jmaab_v6.jc_0903</t>
  </si>
  <si>
    <t>mathworks.jmaab_v6.jc_0904</t>
  </si>
  <si>
    <t>mathworks.jmaab_v6.jc_0905</t>
  </si>
  <si>
    <t>mathworks.jmaab_v6.jc_0906</t>
  </si>
  <si>
    <t>mathworks.jmaab_v6.jc_0907</t>
  </si>
  <si>
    <t>mathworks.jmaab_v6.jm_0012</t>
  </si>
  <si>
    <t>mathworks.jmaab_v6.mp_0007</t>
  </si>
  <si>
    <t>mathworks.jmaab_v6.mp_0008</t>
  </si>
  <si>
    <t>mathworks.jmaab_v6.mp_0010</t>
  </si>
  <si>
    <t>mathworks.jmaab_v6.mp_0011</t>
  </si>
  <si>
    <t>mathworks.jmaab_v6.mp_0022</t>
  </si>
  <si>
    <t>mathworks.jmaab_v6.mp_0023</t>
  </si>
  <si>
    <t>mathworks.jmaab_v6.mp_0032</t>
  </si>
  <si>
    <t>mathworks.jmaab_v6.mp_0034</t>
  </si>
  <si>
    <t>mathworks.jmaab_v6.mp_0040</t>
  </si>
  <si>
    <t>mathworks.jmaab_v6.mp_0046</t>
  </si>
  <si>
    <t>mathworks.jmaab_v6.mp_0047</t>
  </si>
  <si>
    <t>mathworks.jmaab_v6.na_0011</t>
  </si>
  <si>
    <t>mathworks.jmaab_v6.na_0020</t>
  </si>
  <si>
    <t>mathworks.m2m_edittime.BusPortsXform</t>
  </si>
  <si>
    <t>mathworks.maab.db_0081</t>
  </si>
  <si>
    <t>mathworks.maab.db_0110</t>
  </si>
  <si>
    <t>mathworks.maab.db_0123</t>
  </si>
  <si>
    <t>mathworks.maab.db_0137</t>
  </si>
  <si>
    <t>mathworks.maab.db_0140</t>
  </si>
  <si>
    <t>mathworks.maab.db_0141</t>
  </si>
  <si>
    <t>mathworks.maab.db_0142</t>
  </si>
  <si>
    <t>mathworks.maab.db_0143</t>
  </si>
  <si>
    <t>mathworks.maab.db_0151</t>
  </si>
  <si>
    <t>mathworks.maab.himl_0003</t>
  </si>
  <si>
    <t>mathworks.maab.jc_0011</t>
  </si>
  <si>
    <t>mathworks.maab.jc_0021</t>
  </si>
  <si>
    <t>mathworks.maab.jc_0061</t>
  </si>
  <si>
    <t>mathworks.maab.jc_0081</t>
  </si>
  <si>
    <t>mathworks.maab.jc_0111</t>
  </si>
  <si>
    <t>mathworks.maab.jc_0131</t>
  </si>
  <si>
    <t>mathworks.maab.jc_0221</t>
  </si>
  <si>
    <t>mathworks.maab.jc_0451</t>
  </si>
  <si>
    <t>mathworks.maab.jc_0481</t>
  </si>
  <si>
    <t>mathworks.maab.jc_0491</t>
  </si>
  <si>
    <t>mathworks.maab.jc_0511</t>
  </si>
  <si>
    <t>mathworks.maab.jc_0521</t>
  </si>
  <si>
    <t>mathworks.maab.jm_0001</t>
  </si>
  <si>
    <t>mathworks.maab.jm_0010</t>
  </si>
  <si>
    <t>mathworks.maab.jm_0011</t>
  </si>
  <si>
    <t>mathworks.maab.na_0003</t>
  </si>
  <si>
    <t>mathworks.maab.na_0004</t>
  </si>
  <si>
    <t>mathworks.maab.na_0005</t>
  </si>
  <si>
    <t>mathworks.maab.na_0008</t>
  </si>
  <si>
    <t>mathworks.maab.na_0009</t>
  </si>
  <si>
    <t>mathworks.maab.na_0011</t>
  </si>
  <si>
    <t>mathworks.maab.na_0013</t>
  </si>
  <si>
    <t>mathworks.maab.na_0017</t>
  </si>
  <si>
    <t>mathworks.maab.na_0018</t>
  </si>
  <si>
    <t>mathworks.maab.na_0019</t>
  </si>
  <si>
    <t>mathworks.maab.na_0021</t>
  </si>
  <si>
    <t>mathworks.maab.na_0022</t>
  </si>
  <si>
    <t>mathworks.maab.na_0027</t>
  </si>
  <si>
    <t>mathworks.maab.na_0030</t>
  </si>
  <si>
    <t>mathworks.maab.na_0031</t>
  </si>
  <si>
    <t>mathworks.maab.na_0032</t>
  </si>
  <si>
    <t>mathworks.maab.na_0034</t>
  </si>
  <si>
    <t>mathworks.maab.na_0036</t>
  </si>
  <si>
    <t>mathworks.maab.na_0037</t>
  </si>
  <si>
    <t>mathworks.maab.na_0038</t>
  </si>
  <si>
    <t>mathworks.maab.na_0039</t>
  </si>
  <si>
    <t>mathworks.maab.na_0040</t>
  </si>
  <si>
    <t>mathworks.metricchecks.CyclomaticComplexity</t>
  </si>
  <si>
    <t>mathworks.metricchecks.DescriptiveBlockNames</t>
  </si>
  <si>
    <t>mathworks.metricchecks.LayerSeparation</t>
  </si>
  <si>
    <t>mathworks.metricchecks.LibraryLinkCount</t>
  </si>
  <si>
    <t>mathworks.metricchecks.MatlabLOCCount</t>
  </si>
  <si>
    <t>mathworks.metricchecks.SimulinkBlockCount</t>
  </si>
  <si>
    <t>mathworks.metricchecks.StateflowChartObjectCount</t>
  </si>
  <si>
    <t>mathworks.metricchecks.StateflowLOCCount</t>
  </si>
  <si>
    <t>mathworks.metricchecks.SubSystemCount</t>
  </si>
  <si>
    <t>mathworks.metricchecks.SubSystemDepth</t>
  </si>
  <si>
    <t>mathworks.misra.BusElementNames</t>
  </si>
  <si>
    <t>mathworks.misra.DefaultChoiceVariantsCheck</t>
  </si>
  <si>
    <t>mathworks.simulink.InheritVATFromSlVarCtrlCheck</t>
  </si>
  <si>
    <t>mathworks.simulink.MLFBOutputDimensions</t>
  </si>
  <si>
    <t>mathworks.simulink.SB2SL.Check</t>
  </si>
  <si>
    <t>mathworks.stateflow.MachineParentedData.check</t>
  </si>
  <si>
    <t>valeo.standard.diagnostic.gc_libraries</t>
  </si>
  <si>
    <t>valeo.standard.diagnostic.sl_modelsimulation</t>
  </si>
  <si>
    <t>valeo.standard.diagnostic.sl_settings.Check_10</t>
  </si>
  <si>
    <t>valeo.standard.diagnostic.sl_settings.Check_11</t>
  </si>
  <si>
    <t>valeo.standard.diagnostic.sl_settings.Check_12</t>
  </si>
  <si>
    <t>valeo.standard.diagnostic.sl_settings.Check_4</t>
  </si>
  <si>
    <t>valeo.standard.diagnostic.sl_settings.Check_5</t>
  </si>
  <si>
    <t>valeo.standard.diagnostic.sl_settings.Check_6</t>
  </si>
  <si>
    <t>valeo.standard.diagnostic.sl_settings.Check_7</t>
  </si>
  <si>
    <t>valeo.standard.diagnostic.sl_settings.Check_8</t>
  </si>
  <si>
    <t>valeo.standard.diagnostic.sl_settings.Check_9</t>
  </si>
  <si>
    <t>valeo.standard.metrics.sl_checklicenses</t>
  </si>
  <si>
    <t>valeo.standard.naming.sl_checknameconsistency</t>
  </si>
  <si>
    <t>valeo.standard.naming.sl_enabledsystemoutputs</t>
  </si>
  <si>
    <t>valeo.standard.naming.sl_enabledsystemstates</t>
  </si>
  <si>
    <t>valeo.standard.naming.sl_modeldocumentation</t>
  </si>
  <si>
    <t>valeo.standard.optim.sl_settings.Check_2</t>
  </si>
  <si>
    <t>valeo.standard.solver.sl_settings.Check_1</t>
  </si>
  <si>
    <t>valeo.standard.stateflow.chart_properties</t>
  </si>
  <si>
    <t>valeo.standard.stateflow.sf_assignmentoperator</t>
  </si>
  <si>
    <t>valeo.standard.stateflow.sf_check_child_boxes</t>
  </si>
  <si>
    <t>valeo.standard.stateflow.sf_noandconstructs</t>
  </si>
  <si>
    <t>valeo.standard.stateflow.sf_noarithmeticoperationinfunctioncall</t>
  </si>
  <si>
    <t>valeo.standard.stateflow.sf_noparallelstatesatrootlevel</t>
  </si>
  <si>
    <t>valeo.standard.stateflow.sf_numberofstatespercontainer</t>
  </si>
  <si>
    <t>valeo.standard.stateflow.sf_numericvaluesinstateflow</t>
  </si>
  <si>
    <t>valeo.standard.stateflow.sf_stateexecutionorder</t>
  </si>
  <si>
    <t>valeo.standard.stateflow.sf_stateflowencapsulation</t>
  </si>
  <si>
    <t>valeo.standard.stateflow.sf_subchartdepth</t>
  </si>
  <si>
    <t>valeo.standard.stateflow.sf_transitionoperator</t>
  </si>
  <si>
    <t>Check Name</t>
  </si>
  <si>
    <t>Check relative execution orders for Data Store Read and Data Store Write blocks</t>
  </si>
  <si>
    <t>Identify clones from a linked library file</t>
  </si>
  <si>
    <t>Check model configuration settings against code generation objectives</t>
  </si>
  <si>
    <t>Check for blocks that have constraints on tunable parameters</t>
  </si>
  <si>
    <t>Check the hardware implementation</t>
  </si>
  <si>
    <t>Identify questionable subsystem settings</t>
  </si>
  <si>
    <t>Check sample times and tasking mode</t>
  </si>
  <si>
    <t>Check for efficiency optimization parameters</t>
  </si>
  <si>
    <t>Identify ambiguous units in the model</t>
  </si>
  <si>
    <t>Identify automatic unit conversions in the model</t>
  </si>
  <si>
    <t>Check bus signals treated as vectors</t>
  </si>
  <si>
    <t>Identify configurable subsystem blocks in the model for converting to variant subsystem blocks.</t>
  </si>
  <si>
    <t>Check get_param calls for block CompiledSampleTime</t>
  </si>
  <si>
    <t>Check for calls to slDataTypeAndScale()</t>
  </si>
  <si>
    <t>Check for case mismatches in references to models and libraries</t>
  </si>
  <si>
    <t>Identify masked blocks that specify tabs in mask dialog using MaskTabNames parameter</t>
  </si>
  <si>
    <t>Check and update masked blocks in library to use promoted parameters</t>
  </si>
  <si>
    <t>Check for root outports with constant sample time</t>
  </si>
  <si>
    <t>Check export-function models</t>
  </si>
  <si>
    <t>Check usage of function-call connections</t>
  </si>
  <si>
    <t>Check model for S-function upgrade issues</t>
  </si>
  <si>
    <t>Check and update mask image display commands with unnecessary imread() function calls</t>
  </si>
  <si>
    <t>Check and update mask to affirm icon drawing commands dependency on mask workspace</t>
  </si>
  <si>
    <t>Check rapid accelerator signal logging</t>
  </si>
  <si>
    <t>Turn off SLX file compression</t>
  </si>
  <si>
    <t>Resave in current version of Simulink</t>
  </si>
  <si>
    <t>Return all simulation outputs as a single Simulink.SimulationOutput object</t>
  </si>
  <si>
    <t>Update System object syntax</t>
  </si>
  <si>
    <t>Check for virtual bus across model reference boundaries</t>
  </si>
  <si>
    <t>Check for large number of function arguments from virtual bus across model reference boundary</t>
  </si>
  <si>
    <t>Identify Model Variants blocks and convert those to Variant Subsystem blocks containing Model block choices</t>
  </si>
  <si>
    <t>Check data store block sample times for modeling errors</t>
  </si>
  <si>
    <t>Check Data Store Memory blocks for multitasking, strong typing, and shadowing issues</t>
  </si>
  <si>
    <t>Check for potentially delayed function-call block return values</t>
  </si>
  <si>
    <t>Check if Read/Write diagnostics are enabled for Data Store blocks</t>
  </si>
  <si>
    <t>Runtime diagnostics for S-functions</t>
  </si>
  <si>
    <t>Identify disabled library links</t>
  </si>
  <si>
    <t>Identify disallowed unit systems in the model</t>
  </si>
  <si>
    <t>Check usage of Discrete-Time Integrator blocks</t>
  </si>
  <si>
    <t>Check for Discrete-Time Integrator blocks with initial condition uncertainty</t>
  </si>
  <si>
    <t>Check for implicit signal resolution</t>
  </si>
  <si>
    <t>Check usage of Outport blocks</t>
  </si>
  <si>
    <t>Check usage of Merge blocks</t>
  </si>
  <si>
    <t>Check structure parameter usage with bus signals</t>
  </si>
  <si>
    <t>Identify Model Info blocks that can interact with external source control tools</t>
  </si>
  <si>
    <t>Check model settings for migration to simplified initialization mode</t>
  </si>
  <si>
    <t>Check diagnostic settings ignored during accelerated model reference simulation</t>
  </si>
  <si>
    <t>Check for noncontinuous signals that drive derivative ports</t>
  </si>
  <si>
    <t>Check for optimal bus virtuality</t>
  </si>
  <si>
    <t>Check optimization settings</t>
  </si>
  <si>
    <t>Check for potential ordering issues involving data store access</t>
  </si>
  <si>
    <t>Identify block output signals with continuous sample time and non-floating point data type</t>
  </si>
  <si>
    <t>Check for parameter tunability information ignored for referenced models</t>
  </si>
  <si>
    <t>Check model for parameter initialization and tuning issues</t>
  </si>
  <si>
    <t>Identify parameterized library links</t>
  </si>
  <si>
    <t>Identify Environment Controller blocks to be replaced with Variant Source blocks</t>
  </si>
  <si>
    <t>Check Delay, Unit Delay and Zero-Order Hold blocks for rate transition</t>
  </si>
  <si>
    <t>Check root model Inport block specifications</t>
  </si>
  <si>
    <t>Check S-functions in the model</t>
  </si>
  <si>
    <t>Check Model History properties</t>
  </si>
  <si>
    <t>Signal Builder Check</t>
  </si>
  <si>
    <t>Identify questionable operations for strict single-precision design</t>
  </si>
  <si>
    <t>Identify unconnected lines, input ports, and output ports</t>
  </si>
  <si>
    <t>Identify undefined units in the model</t>
  </si>
  <si>
    <t>Identify unit mismatches in the model</t>
  </si>
  <si>
    <t>Identify unresolved library links</t>
  </si>
  <si>
    <t>Check model for block upgrade issues</t>
  </si>
  <si>
    <t>Check model for block upgrade issues requiring compile time information</t>
  </si>
  <si>
    <t>Check virtual bus inputs to blocks</t>
  </si>
  <si>
    <t>Identify variant blocks using variantexpression objects with empty conditions</t>
  </si>
  <si>
    <t>Check usage of Logic and Bit Operations blocks</t>
  </si>
  <si>
    <t>Check usage of Math blocks</t>
  </si>
  <si>
    <t>Check usage of Math Operations blocks</t>
  </si>
  <si>
    <t>Display model version information</t>
  </si>
  <si>
    <t>Check safety-related optimization settings</t>
  </si>
  <si>
    <t>Check usage of Ports and Subsystems blocks</t>
  </si>
  <si>
    <t>Check usage of standardized MATLAB function headers</t>
  </si>
  <si>
    <t>Check for MATLAB Function interfaces with inherited properties</t>
  </si>
  <si>
    <t>Check MATLAB Function metrics</t>
  </si>
  <si>
    <t>Check if/elseif/else patterns in MATLAB Function blocks</t>
  </si>
  <si>
    <t>Check switch statements in MATLAB Function blocks</t>
  </si>
  <si>
    <t>Check usage of relational operators in MATLAB Function blocks</t>
  </si>
  <si>
    <t>Check usage of equality operators in MATLAB Function blocks</t>
  </si>
  <si>
    <t>Check usage of logical operators and functions in MATLAB Function blocks</t>
  </si>
  <si>
    <t>Check type and size of condition expressions</t>
  </si>
  <si>
    <t>Check state machine type of Stateflow charts</t>
  </si>
  <si>
    <t>Check usage of bitwise operations in Stateflow charts</t>
  </si>
  <si>
    <t>Check for Strong Data Typing with Simulink I/O</t>
  </si>
  <si>
    <t>Check Stateflow debugging options</t>
  </si>
  <si>
    <t>Check Stateflow charts for transition paths that cross parallel state boundaries</t>
  </si>
  <si>
    <t>Check for inappropriate use of transition paths</t>
  </si>
  <si>
    <t>Check Stateflow charts for strong data typing</t>
  </si>
  <si>
    <t>Check naming of ports in Stateflow charts</t>
  </si>
  <si>
    <t>Check scoping of Stateflow data objects</t>
  </si>
  <si>
    <t>Check usage of shift operations for Stateflow data</t>
  </si>
  <si>
    <t>Check assignment operations in Stateflow charts</t>
  </si>
  <si>
    <t>Check Stateflow charts for unary operators</t>
  </si>
  <si>
    <t>Check usage of Abs blocks</t>
  </si>
  <si>
    <t>Check usage of remainder and reciprocal operations</t>
  </si>
  <si>
    <t>Check usage of log and log10 operations</t>
  </si>
  <si>
    <t>Check usage of While Iterator blocks</t>
  </si>
  <si>
    <t>Check usage of For and While Iterator subsystems</t>
  </si>
  <si>
    <t>Check usage of For Iterator blocks</t>
  </si>
  <si>
    <t>Check usage of If blocks and If Action Subsystem blocks</t>
  </si>
  <si>
    <t>Check usage of Switch Case blocks and Switch Case Action Subsystem blocks</t>
  </si>
  <si>
    <t>Check safety-related diagnostic settings for data store memory</t>
  </si>
  <si>
    <t>Check relational comparisons on floating-point signals</t>
  </si>
  <si>
    <t>Check usage of Relational Operator blocks</t>
  </si>
  <si>
    <t>Check usage of Logical Operator blocks</t>
  </si>
  <si>
    <t>Check usage of bitwise operations</t>
  </si>
  <si>
    <t>Check for inconsistent vector indexing methods</t>
  </si>
  <si>
    <t>Check data types for blocks with index signals</t>
  </si>
  <si>
    <t>Check for root Input ports with missing properties</t>
  </si>
  <si>
    <t>Check for root Input ports with missing range definitions</t>
  </si>
  <si>
    <t>Check for root Output ports with missing range definitions</t>
  </si>
  <si>
    <t>Check model file name</t>
  </si>
  <si>
    <t>Check model element names</t>
  </si>
  <si>
    <t>Check usage of lookup table blocks</t>
  </si>
  <si>
    <t>Check usage of Signal Routing blocks</t>
  </si>
  <si>
    <t>Check safety-related diagnostic settings for saving</t>
  </si>
  <si>
    <t>Check safety-related model referencing settings</t>
  </si>
  <si>
    <t>Check safety-related solver settings for simulation time</t>
  </si>
  <si>
    <t>Check safety-related solver settings for solver options</t>
  </si>
  <si>
    <t>Check safety-related solver settings for tasking and sample-time</t>
  </si>
  <si>
    <t>Check safety-related diagnostic settings for solvers</t>
  </si>
  <si>
    <t>Check safety-related diagnostic settings for sample time</t>
  </si>
  <si>
    <t>Check safety-related optimization settings for logic signals</t>
  </si>
  <si>
    <t>Check safety-related optimization settings for application lifespan</t>
  </si>
  <si>
    <t>Check safety-related optimization settings for data initialization</t>
  </si>
  <si>
    <t>Check safety-related optimization settings for data type conversions</t>
  </si>
  <si>
    <t>Check safety-related optimization settings for division arithmetic exceptions</t>
  </si>
  <si>
    <t>Check safety-related optimization settings for specified minimum and maximum values</t>
  </si>
  <si>
    <t>Check Stateflow charts for uniquely defined data objects</t>
  </si>
  <si>
    <t>Check global variables in graphical functions</t>
  </si>
  <si>
    <t>Check for length of user-defined object names</t>
  </si>
  <si>
    <t>Check usage of Gain blocks</t>
  </si>
  <si>
    <t>Check for model elements that do not link to requirements</t>
  </si>
  <si>
    <t>Check safety-related settings for hardware implementation</t>
  </si>
  <si>
    <t>Check for parameter tunability ignored for referenced models</t>
  </si>
  <si>
    <t>Check usage of bit-shift operations</t>
  </si>
  <si>
    <t>Check safety-related diagnostic settings for variants</t>
  </si>
  <si>
    <t>Check for disabled and parameterized library links</t>
  </si>
  <si>
    <t>Check for root Outports with missing properties</t>
  </si>
  <si>
    <t>Check for invalid root input and output port connections</t>
  </si>
  <si>
    <t>Check data type of loop control variables</t>
  </si>
  <si>
    <t>Check safety-related diagnostic settings for compatibility</t>
  </si>
  <si>
    <t>Check safety-related diagnostic settings for parameters</t>
  </si>
  <si>
    <t>Check safety-related diagnostic settings for Merge blocks</t>
  </si>
  <si>
    <t>Check safety-related diagnostic settings for model initialization</t>
  </si>
  <si>
    <t>Check safety-related diagnostic settings for data used for debugging</t>
  </si>
  <si>
    <t>Check safety-related diagnostic settings for signal connectivity</t>
  </si>
  <si>
    <t>Check safety-related diagnostic settings for bus connectivity</t>
  </si>
  <si>
    <t>Check safety-related diagnostic settings that apply to function-call connectivity</t>
  </si>
  <si>
    <t>Check safety-related diagnostic settings for type conversions</t>
  </si>
  <si>
    <t>Check safety-related diagnostic settings for model referencing</t>
  </si>
  <si>
    <t>Check safety-related diagnostic settings for Stateflow</t>
  </si>
  <si>
    <t>Check safety-related diagnostic settings for signal data</t>
  </si>
  <si>
    <t>Display model metrics and complexity report</t>
  </si>
  <si>
    <t>Display configuration management data</t>
  </si>
  <si>
    <t>Check for questionable constructs</t>
  </si>
  <si>
    <t>Check usage of Stateflow constructs</t>
  </si>
  <si>
    <t>Check for unconnected objects</t>
  </si>
  <si>
    <t>Check file names</t>
  </si>
  <si>
    <t>Check signal line connections</t>
  </si>
  <si>
    <t>Check position of Inport and Outport blocks</t>
  </si>
  <si>
    <t>Check Model font settings</t>
  </si>
  <si>
    <t>Check for unconnected signal lines and blocks</t>
  </si>
  <si>
    <t>Check position of signal labels</t>
  </si>
  <si>
    <t>Check Indexing Mode</t>
  </si>
  <si>
    <t>Check definition of Stateflow data</t>
  </si>
  <si>
    <t>Check definition of Stateflow events</t>
  </si>
  <si>
    <t>Check for MATLAB expressions in Stateflow blocks</t>
  </si>
  <si>
    <t>Check Stateflow transition appearance</t>
  </si>
  <si>
    <t>Check transitions in Stateflow flow charts</t>
  </si>
  <si>
    <t>Check for exclusive states in state machines</t>
  </si>
  <si>
    <t>Check signal flow in model</t>
  </si>
  <si>
    <t>Check position of conditional blocks and iterator blocks</t>
  </si>
  <si>
    <t>Check definition of signal labels</t>
  </si>
  <si>
    <t>Check Signal name propagation</t>
  </si>
  <si>
    <t>Check block orientation</t>
  </si>
  <si>
    <t>Check usage of Sum blocks</t>
  </si>
  <si>
    <t>Check for usage of Data Store Memory blocks</t>
  </si>
  <si>
    <t>Check connections between structural subsystems</t>
  </si>
  <si>
    <t>Check subsystem names</t>
  </si>
  <si>
    <t>Check port block names</t>
  </si>
  <si>
    <t>Check character usage in signal names and bus names</t>
  </si>
  <si>
    <t>Check character usage in block names</t>
  </si>
  <si>
    <t>Check character usage in parameter names</t>
  </si>
  <si>
    <t>Check length of model file name</t>
  </si>
  <si>
    <t>Check length of folder name at every level of model path</t>
  </si>
  <si>
    <t>Check length of subsystem names</t>
  </si>
  <si>
    <t>Check length of Inport and Outport names</t>
  </si>
  <si>
    <t>Check length of signal and bus names</t>
  </si>
  <si>
    <t>Check length of parameter names</t>
  </si>
  <si>
    <t>Check length of block names</t>
  </si>
  <si>
    <t>Check trigger signal names</t>
  </si>
  <si>
    <t>Check entry formatting in State blocks in Stateflow charts</t>
  </si>
  <si>
    <t>Check default transition placement in Stateflow charts</t>
  </si>
  <si>
    <t>Check for consistency in model element names</t>
  </si>
  <si>
    <t>Check Model Description</t>
  </si>
  <si>
    <t>Check if blocks are shaded in the model</t>
  </si>
  <si>
    <t>Check operator order of Product blocks</t>
  </si>
  <si>
    <t>Check signs of input signals in product blocks</t>
  </si>
  <si>
    <t>Check icon shape of Logical Operator blocks</t>
  </si>
  <si>
    <t>Check for parentheses in Fcn block expressions</t>
  </si>
  <si>
    <t>Check usage of Memory and Unit Delay blocks</t>
  </si>
  <si>
    <t>Check for cascaded Unit Delay blocks</t>
  </si>
  <si>
    <t>Check usage of Lookup Tables</t>
  </si>
  <si>
    <t>Check usage of Discrete-Time Integrator block</t>
  </si>
  <si>
    <t>Check usage of the Saturation blocks</t>
  </si>
  <si>
    <t>Check settings for data ports in Multiport Switch blocks</t>
  </si>
  <si>
    <t>Check undefined initial output for conditional subsystems</t>
  </si>
  <si>
    <t>Check for sample time setting</t>
  </si>
  <si>
    <t>Check Signed Integer Division Rounding mode</t>
  </si>
  <si>
    <t>Check usage of fixed-point data type with non-zero bias</t>
  </si>
  <si>
    <t>Check type setting by data objects</t>
  </si>
  <si>
    <t>Check if tunable block parameters are defined as named constants</t>
  </si>
  <si>
    <t>Check input and output data type for Switch blocks</t>
  </si>
  <si>
    <t>Check output data type of operation blocks</t>
  </si>
  <si>
    <t>Check for avoiding algebraic loops between subsystems</t>
  </si>
  <si>
    <t>Check prohibited comparison operation of logical type signals</t>
  </si>
  <si>
    <t>Check default/else case in Switch Case blocks and If blocks</t>
  </si>
  <si>
    <t>Check usage of Merge block</t>
  </si>
  <si>
    <t>Check for unused data in Stateflow Charts</t>
  </si>
  <si>
    <t>Check usable number for first index</t>
  </si>
  <si>
    <t>Check usage of numeric literals in Stateflow</t>
  </si>
  <si>
    <t>Check execution timing for default transition path</t>
  </si>
  <si>
    <t>Check usage of parallel states</t>
  </si>
  <si>
    <t>Check scope of data in parallel states</t>
  </si>
  <si>
    <t>Check usage of transitions to external states</t>
  </si>
  <si>
    <t>Check uniqueness of State names</t>
  </si>
  <si>
    <t>Check usage of State names</t>
  </si>
  <si>
    <t>Check uniqueness of Stateflow State, Data and Event names</t>
  </si>
  <si>
    <t>Check order of state action types</t>
  </si>
  <si>
    <t>Check repetition of Action types</t>
  </si>
  <si>
    <t>Check indentation of code in Stateflow states</t>
  </si>
  <si>
    <t>Check usage of Stateflow comments</t>
  </si>
  <si>
    <t>Check for usage of text inside states</t>
  </si>
  <si>
    <t>Check if state action type 'exit' is used in the model</t>
  </si>
  <si>
    <t>Check updates to variables used in state transition conditions</t>
  </si>
  <si>
    <t>Check for unexpected backtracking in state transitions</t>
  </si>
  <si>
    <t>Check usage of parentheses in Stateflow transitions</t>
  </si>
  <si>
    <t>Check condition actions and transition actions in Stateflow</t>
  </si>
  <si>
    <t>Check usage of internal transition</t>
  </si>
  <si>
    <t>Check prohibited combination of state action and flow chart</t>
  </si>
  <si>
    <t>Check usage of internal transitions in Stateflow states</t>
  </si>
  <si>
    <t>Check position of label string in Stateflow transition</t>
  </si>
  <si>
    <t>Check position of comments in transition labels</t>
  </si>
  <si>
    <t>Check usage of transition conditions in Stateflow transitions</t>
  </si>
  <si>
    <t>Check usage of unconditional transitions in flow charts</t>
  </si>
  <si>
    <t>Check for comments in unconditional transitions</t>
  </si>
  <si>
    <t>Check terminal junctions in Stateflow</t>
  </si>
  <si>
    <t>Check Stateflow chart action language</t>
  </si>
  <si>
    <t>Check duplication of Simulink Data names</t>
  </si>
  <si>
    <t>Check unused data in Simulink Model</t>
  </si>
  <si>
    <t>Check character usage in Stateflow data names</t>
  </si>
  <si>
    <t>Check length of Stateflow data name</t>
  </si>
  <si>
    <t>Check for unconnected objects in Stateflow Charts</t>
  </si>
  <si>
    <t>Check comparison of floating point types in Simulink</t>
  </si>
  <si>
    <t>Check for use of C-style comment symbols</t>
  </si>
  <si>
    <t>Check for implicit type casting in Stateflow</t>
  </si>
  <si>
    <t>Check usage of graphical functions in Stateflow</t>
  </si>
  <si>
    <t>Check diagnostic settings for incorrect calculation results</t>
  </si>
  <si>
    <t>Check usage of events in Stateflow charts</t>
  </si>
  <si>
    <t>Check Stateflow operators</t>
  </si>
  <si>
    <t>Check fundamental logical and numerical operations</t>
  </si>
  <si>
    <t>Check usage of vector and bus signals</t>
  </si>
  <si>
    <t>Check for missing ports in Variant Subsystems</t>
  </si>
  <si>
    <t>Check usage of Simulink functions in Stateflow</t>
  </si>
  <si>
    <t>Check folder names</t>
  </si>
  <si>
    <t>Check usage of floating-point expressions in Stateflow charts</t>
  </si>
  <si>
    <t>Check Bus and Enumeration data type names</t>
  </si>
  <si>
    <t>Check length of Bus and Enumeration data type names</t>
  </si>
  <si>
    <t>Check for arrowhead size of transition lines</t>
  </si>
  <si>
    <t>Check for overlapping or intersecting blocks and signal lines</t>
  </si>
  <si>
    <t>Check for overlapping of states and transition lines</t>
  </si>
  <si>
    <t>Check data names in MATLAB Functions</t>
  </si>
  <si>
    <t>Check the length of data names in MATLAB Functions</t>
  </si>
  <si>
    <t>Check for size of junctions</t>
  </si>
  <si>
    <t>Check description of execution statements</t>
  </si>
  <si>
    <t>Check for spaces in function or variable names</t>
  </si>
  <si>
    <t>Check for operator precedence</t>
  </si>
  <si>
    <t>Check spaces in expressions</t>
  </si>
  <si>
    <t>Check description of conditional expressions</t>
  </si>
  <si>
    <t>Check relational operator usage</t>
  </si>
  <si>
    <t>Check function headers</t>
  </si>
  <si>
    <t>Check number of lines of functions</t>
  </si>
  <si>
    <t>Check for utilization of the return value of functions</t>
  </si>
  <si>
    <t>Check array indices</t>
  </si>
  <si>
    <t>Check for usage of non-empty statements</t>
  </si>
  <si>
    <t>Check scope of From and Goto blocks</t>
  </si>
  <si>
    <t>Refactor to simplify bus element blocks</t>
  </si>
  <si>
    <t>Check for unconnected ports and signal lines</t>
  </si>
  <si>
    <t>Check usage of tunable parameters in blocks</t>
  </si>
  <si>
    <t>Check for names of Stateflow ports and associated signals</t>
  </si>
  <si>
    <t>Check usage of exclusive and default states in state machines</t>
  </si>
  <si>
    <t>Check for display of block parameter</t>
  </si>
  <si>
    <t>Check whether block names appear below blocks</t>
  </si>
  <si>
    <t>Check for mixing basic blocks and subsystems</t>
  </si>
  <si>
    <t>Check transition actions in Stateflow charts</t>
  </si>
  <si>
    <t>Check Implement logic signals as Boolean data (vs. double)</t>
  </si>
  <si>
    <t>Check model diagnostic parameters</t>
  </si>
  <si>
    <t>Check the display attributes of block names</t>
  </si>
  <si>
    <t>Check display for port blocks</t>
  </si>
  <si>
    <t>Check orientation of Subsystem blocks</t>
  </si>
  <si>
    <t>Check character usage in signal labels</t>
  </si>
  <si>
    <t>Check usage of unary minus operations in Stateflow charts</t>
  </si>
  <si>
    <t>Check reuse of Variables within a Stateflow scope</t>
  </si>
  <si>
    <t>Check return value assignments in Stateflow graphical functions</t>
  </si>
  <si>
    <t>Check usage of return values from Stateflow graphical functions</t>
  </si>
  <si>
    <t>Check for prohibited blocks in discrete controllers</t>
  </si>
  <si>
    <t>Check for matching port and signal names</t>
  </si>
  <si>
    <t>Check for pointers in Stateflow charts</t>
  </si>
  <si>
    <t>Check logical expressions in If blocks</t>
  </si>
  <si>
    <t>Check for Simulink diagrams using nonstandard display attributes</t>
  </si>
  <si>
    <t>Check visibility of block port names</t>
  </si>
  <si>
    <t>Check signal line labels</t>
  </si>
  <si>
    <t>Check for propagated signal labels</t>
  </si>
  <si>
    <t>Check for comparison operations in Stateflow charts</t>
  </si>
  <si>
    <t>Check the number of function calls in MATLAB Function blocks</t>
  </si>
  <si>
    <t>Check nested conditions in MATLAB Functions</t>
  </si>
  <si>
    <t>Check usage of restricted variable names</t>
  </si>
  <si>
    <t>Check usage of character vector inside MATLAB Function block</t>
  </si>
  <si>
    <t>Check usage of recommended patterns for Switch/Case statements</t>
  </si>
  <si>
    <t>Check usage of non-compliant blocks</t>
  </si>
  <si>
    <t>Check Simulink bus signal names</t>
  </si>
  <si>
    <t>Check usage of enumerated values</t>
  </si>
  <si>
    <t>Check usage of merge blocks</t>
  </si>
  <si>
    <t>Check input and output settings of MATLAB Functions</t>
  </si>
  <si>
    <t>Check use of default variants</t>
  </si>
  <si>
    <t>Check use of single variable variant conditionals</t>
  </si>
  <si>
    <t>Check nested states in Stateflow charts</t>
  </si>
  <si>
    <t>Check use of Simulink in Stateflow charts</t>
  </si>
  <si>
    <t>Check number of Stateflow states per container</t>
  </si>
  <si>
    <t>Cyclomatic complexity metric</t>
  </si>
  <si>
    <t>Nondescriptive block name metric</t>
  </si>
  <si>
    <t>Data and structure layer separation metric</t>
  </si>
  <si>
    <t>Library link metric</t>
  </si>
  <si>
    <t>Effective lines of MATLAB code metric</t>
  </si>
  <si>
    <t>Simulink block metric</t>
  </si>
  <si>
    <t>Stateflow chart objects metric</t>
  </si>
  <si>
    <t>Lines of code for Stateflow blocks metric</t>
  </si>
  <si>
    <t>Subsystem metric</t>
  </si>
  <si>
    <t>Subsystem depth metric</t>
  </si>
  <si>
    <t>Check bus object names that are used as bus element names</t>
  </si>
  <si>
    <t>Check for variant blocks that do not have a default choice</t>
  </si>
  <si>
    <t>Identify variant blocks with VariantActivation set to 'inherit from Simulink.VariantControl' but do not use Simulink.VariantControl</t>
  </si>
  <si>
    <t>Check output dimensions of MATLAB Function blocks</t>
  </si>
  <si>
    <t>Check model and local libraries for SB2SL blocks</t>
  </si>
  <si>
    <t>Check for machine-parented data</t>
  </si>
  <si>
    <t>Generic - Check Library handling</t>
  </si>
  <si>
    <t>Simulink - Verify Model Simulation</t>
  </si>
  <si>
    <t>Configuration Settings: "DIAGNOSTIC -&gt; Model Referencing"</t>
  </si>
  <si>
    <t>Configuration Settings: "DIAGNOSTIC -&gt; Saving"</t>
  </si>
  <si>
    <t>Configuration Settings: "DIAGNOSTIC -&gt; Stateflow"</t>
  </si>
  <si>
    <t>Configuration Settings: "DIAGNOSTIC -&gt; Solver"</t>
  </si>
  <si>
    <t>Configuration Settings: "DIAGNOSTIC -&gt; Sample Time"</t>
  </si>
  <si>
    <t>Configuration Settings: "DIAGNOSTIC -&gt; Data Validity"</t>
  </si>
  <si>
    <t>Configuration Settings: "DIAGNOSTIC -&gt; Type Conversion"</t>
  </si>
  <si>
    <t>Configuration Settings: "DIAGNOSTIC -&gt; Connectivity"</t>
  </si>
  <si>
    <t>Configuration Settings: "DIAGNOSTIC -&gt; Compatibility"</t>
  </si>
  <si>
    <t>Check License availability</t>
  </si>
  <si>
    <t>Simulink - Inport/Outport Name Propagation</t>
  </si>
  <si>
    <t>Simulink - Enabled System Outputs Display</t>
  </si>
  <si>
    <t>Simulink - Enabled System States Display</t>
  </si>
  <si>
    <t>Simulink - Model Documentation</t>
  </si>
  <si>
    <t>Configuration Settings: "OPTIM"</t>
  </si>
  <si>
    <t>Configuration Settings: "SOLVER"</t>
  </si>
  <si>
    <t>Stateflow - Chart Properties</t>
  </si>
  <si>
    <t>Stateflow - Assignment Operator</t>
  </si>
  <si>
    <t xml:space="preserve">Stateflow - No child elements in boxes </t>
  </si>
  <si>
    <t>Stateflow - No And Construct with Events</t>
  </si>
  <si>
    <t>Stateflow - No Arithmetic calculations in function call</t>
  </si>
  <si>
    <t>Stateflow - No Parallel States At RootLevel</t>
  </si>
  <si>
    <t>Stateflow - Number of States per Container</t>
  </si>
  <si>
    <t>Stateflow - Numeric Values in Stateflow</t>
  </si>
  <si>
    <t>Stateflow - Execution Order of Parallel state</t>
  </si>
  <si>
    <t>Stateflow - Stateflow Encapsulation</t>
  </si>
  <si>
    <t>Stateflow - Subchart Depth</t>
  </si>
  <si>
    <t>Stateflow - Nb Transition Operators</t>
  </si>
  <si>
    <t>Rationale</t>
  </si>
  <si>
    <t>ARCHI</t>
  </si>
  <si>
    <t>OPTIM</t>
  </si>
  <si>
    <t>SOLVER</t>
  </si>
  <si>
    <t>None</t>
  </si>
  <si>
    <t>UpgradeAdvisor</t>
  </si>
  <si>
    <t>TYPING</t>
  </si>
  <si>
    <t>SIMLIB</t>
  </si>
  <si>
    <t>LAYOUT</t>
  </si>
  <si>
    <t>OTHER</t>
  </si>
  <si>
    <t>DIAGNOSTIC</t>
  </si>
  <si>
    <t>METRICS</t>
  </si>
  <si>
    <t>STATEFLOW</t>
  </si>
  <si>
    <t>NAMING</t>
  </si>
  <si>
    <t>REQUIREMENTS</t>
  </si>
  <si>
    <t>System:</t>
  </si>
  <si>
    <t>Version:</t>
  </si>
  <si>
    <t>Date:</t>
  </si>
  <si>
    <t>Passed:</t>
  </si>
  <si>
    <t>Failed:</t>
  </si>
  <si>
    <t>Warning:</t>
  </si>
  <si>
    <t>NotRun:</t>
  </si>
  <si>
    <t>Justified:</t>
  </si>
  <si>
    <t>Information:</t>
  </si>
  <si>
    <t>Incomplete:</t>
  </si>
  <si>
    <t>VMAAC:</t>
  </si>
  <si>
    <t>Check Criticality</t>
  </si>
  <si>
    <t>Critical</t>
  </si>
  <si>
    <t>Major</t>
  </si>
  <si>
    <t>Minor</t>
  </si>
  <si>
    <t>1.362</t>
  </si>
  <si>
    <t>10.3.0.0  @  R2025b</t>
  </si>
  <si>
    <t>Detailed Result</t>
  </si>
  <si>
    <t>1</t>
  </si>
  <si>
    <t>0</t>
  </si>
  <si>
    <t xml:space="preserve"> </t>
  </si>
  <si>
    <t xml:space="preserve"> 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</si>
</sst>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 tint="-0.49998474074526"/>
      <name val="Calibri"/>
      <family val="2"/>
      <scheme val="minor"/>
    </font>
    <font>
      <sz val="9"/>
      <color theme="0" tint="-0.49998474074526"/>
      <name val="Calibri"/>
      <family val="2"/>
      <scheme val="minor"/>
    </font>
    <font>
      <sz val="11"/>
      <color theme="0" tint="-0.49998474074526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9"/>
      <color theme="4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i/>
      <sz val="8"/>
      <color theme="0" tint="-0.24997711111789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Times New Roman"/>
      <family val="1"/>
    </font>
    <font>
      <sz val="12"/>
      <name val="Courier New"/>
      <family val="3"/>
    </font>
    <font>
      <b/>
      <sz val="20"/>
      <name val="Times New Roman"/>
      <family val="1"/>
    </font>
    <font>
      <b/>
      <sz val="16"/>
      <color indexed="4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</fills>
  <borders count="34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medium">
        <color indexed="64"/>
      </left>
      <right style="thin">
        <color auto="true"/>
      </right>
      <top style="medium">
        <color indexed="64"/>
      </top>
      <bottom style="thin">
        <color auto="true"/>
      </bottom>
      <diagonal/>
    </border>
    <border>
      <left style="thin">
        <color auto="true"/>
      </left>
      <right style="medium">
        <color indexed="64"/>
      </right>
      <top style="medium">
        <color indexed="64"/>
      </top>
      <bottom style="thin">
        <color auto="true"/>
      </bottom>
      <diagonal/>
    </border>
    <border>
      <left style="medium">
        <color indexed="64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medium">
        <color indexed="64"/>
      </right>
      <top style="thin">
        <color auto="true"/>
      </top>
      <bottom style="thin">
        <color auto="true"/>
      </bottom>
      <diagonal/>
    </border>
    <border>
      <left style="medium">
        <color indexed="64"/>
      </left>
      <right style="thin">
        <color auto="true"/>
      </right>
      <top style="thin">
        <color auto="true"/>
      </top>
      <bottom style="medium">
        <color indexed="64"/>
      </bottom>
      <diagonal/>
    </border>
    <border>
      <left style="thin">
        <color auto="true"/>
      </left>
      <right style="medium">
        <color indexed="64"/>
      </right>
      <top style="thin">
        <color auto="true"/>
      </top>
      <bottom style="medium">
        <color indexed="64"/>
      </bottom>
      <diagonal/>
    </border>
    <border>
      <left style="medium">
        <color indexed="64"/>
      </left>
      <right style="thin">
        <color auto="true"/>
      </right>
      <top/>
      <bottom style="thin">
        <color auto="true"/>
      </bottom>
      <diagonal/>
    </border>
    <border>
      <left style="thin">
        <color auto="true"/>
      </left>
      <right style="medium">
        <color indexed="64"/>
      </right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 style="medium">
        <color indexed="64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true"/>
      </right>
      <top/>
      <bottom style="medium">
        <color indexed="64"/>
      </bottom>
      <diagonal/>
    </border>
    <border>
      <left style="thin">
        <color auto="true"/>
      </left>
      <right style="thin">
        <color auto="true"/>
      </right>
      <top/>
      <bottom style="medium">
        <color indexed="64"/>
      </bottom>
      <diagonal/>
    </border>
    <border>
      <left style="thin">
        <color auto="true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121">
    <xf numFmtId="0" fontId="0" fillId="0" borderId="0" xfId="0"/>
    <xf numFmtId="0" fontId="0" fillId="2" borderId="0" xfId="0" applyNumberFormat="true" applyFill="true"/>
    <xf numFmtId="0" fontId="1" fillId="2" borderId="0" xfId="0" applyNumberFormat="true" applyFont="true" applyFill="true" applyAlignment="true">
      <alignment horizontal="right" wrapText="true"/>
    </xf>
    <xf numFmtId="0" fontId="1" fillId="2" borderId="0" xfId="0" applyNumberFormat="true" applyFont="true" applyFill="true"/>
    <xf numFmtId="0" fontId="1" fillId="2" borderId="0" xfId="0" applyNumberFormat="true" applyFont="true" applyFill="true" applyAlignment="true">
      <alignment horizontal="right"/>
    </xf>
    <xf numFmtId="0" fontId="2" fillId="2" borderId="0" xfId="0" applyNumberFormat="true" applyFont="true" applyFill="true"/>
    <xf numFmtId="0" fontId="0" fillId="2" borderId="0" xfId="0" applyFill="true"/>
    <xf numFmtId="0" fontId="0" fillId="2" borderId="1" xfId="0" applyFill="true" applyBorder="true" applyAlignment="true">
      <alignment horizontal="center"/>
    </xf>
    <xf numFmtId="0" fontId="0" fillId="2" borderId="0" xfId="0" applyNumberFormat="true" applyFill="true" applyAlignment="true">
      <alignment horizontal="right"/>
    </xf>
    <xf numFmtId="14" fontId="0" fillId="2" borderId="0" xfId="0" applyNumberFormat="true" applyFill="true" applyAlignment="true">
      <alignment horizontal="right"/>
    </xf>
    <xf numFmtId="49" fontId="1" fillId="2" borderId="0" xfId="0" applyNumberFormat="true" applyFont="true" applyFill="true" applyAlignment="true">
      <alignment horizontal="right"/>
    </xf>
    <xf numFmtId="49" fontId="0" fillId="2" borderId="0" xfId="0" applyNumberFormat="true" applyFill="true" applyAlignment="true">
      <alignment horizontal="right"/>
    </xf>
    <xf numFmtId="0" fontId="5" fillId="2" borderId="0" xfId="0" applyNumberFormat="true" applyFont="true" applyFill="true" applyAlignment="true">
      <alignment horizontal="center"/>
    </xf>
    <xf numFmtId="0" fontId="1" fillId="5" borderId="17" xfId="0" applyNumberFormat="true" applyFont="true" applyFill="true" applyBorder="true" applyAlignment="true" applyProtection="true">
      <alignment horizontal="center" vertical="center"/>
      <protection hidden="true"/>
    </xf>
    <xf numFmtId="0" fontId="1" fillId="4" borderId="1" xfId="0" applyNumberFormat="true" applyFont="true" applyFill="true" applyBorder="true" applyAlignment="true" applyProtection="true">
      <alignment horizontal="center" vertical="center"/>
      <protection hidden="true"/>
    </xf>
    <xf numFmtId="0" fontId="1" fillId="6" borderId="1" xfId="0" applyNumberFormat="true" applyFont="true" applyFill="true" applyBorder="true" applyAlignment="true" applyProtection="true">
      <alignment horizontal="center" vertical="center"/>
      <protection hidden="true"/>
    </xf>
    <xf numFmtId="0" fontId="10" fillId="2" borderId="11" xfId="0" applyNumberFormat="true" applyFont="true" applyFill="true" applyBorder="true" applyAlignment="true" applyProtection="true">
      <alignment horizontal="center" vertical="center"/>
      <protection hidden="true"/>
    </xf>
    <xf numFmtId="0" fontId="3" fillId="2" borderId="1" xfId="0" applyFont="true" applyFill="true" applyBorder="true" applyAlignment="true" applyProtection="true">
      <alignment horizontal="center"/>
      <protection locked="false"/>
    </xf>
    <xf numFmtId="0" fontId="0" fillId="2" borderId="0" xfId="0" applyFill="true" applyProtection="true"/>
    <xf numFmtId="0" fontId="0" fillId="2" borderId="2" xfId="0" applyFill="true" applyBorder="true" applyAlignment="true" applyProtection="true">
      <alignment vertical="center"/>
    </xf>
    <xf numFmtId="0" fontId="0" fillId="2" borderId="4" xfId="0" applyFill="true" applyBorder="true" applyAlignment="true" applyProtection="true">
      <alignment vertical="center"/>
    </xf>
    <xf numFmtId="0" fontId="6" fillId="2" borderId="6" xfId="0" applyFont="true" applyFill="true" applyBorder="true" applyAlignment="true" applyProtection="true">
      <alignment vertical="center"/>
    </xf>
    <xf numFmtId="0" fontId="1" fillId="5" borderId="8" xfId="0" applyFont="true" applyFill="true" applyBorder="true" applyAlignment="true" applyProtection="true">
      <alignment vertical="center"/>
    </xf>
    <xf numFmtId="0" fontId="1" fillId="4" borderId="4" xfId="0" applyFont="true" applyFill="true" applyBorder="true" applyAlignment="true" applyProtection="true">
      <alignment vertical="center"/>
    </xf>
    <xf numFmtId="0" fontId="1" fillId="6" borderId="4" xfId="0" applyFont="true" applyFill="true" applyBorder="true" applyAlignment="true" applyProtection="true">
      <alignment vertical="center"/>
    </xf>
    <xf numFmtId="0" fontId="9" fillId="2" borderId="6" xfId="0" applyFont="true" applyFill="true" applyBorder="true" applyAlignment="true" applyProtection="true">
      <alignment vertical="center"/>
    </xf>
    <xf numFmtId="0" fontId="11" fillId="2" borderId="0" xfId="0" applyNumberFormat="true" applyFont="true" applyFill="true" applyAlignment="true">
      <alignment horizontal="left"/>
    </xf>
    <xf numFmtId="0" fontId="0" fillId="2" borderId="0" xfId="0" applyFill="true" applyProtection="true">
      <protection hidden="true"/>
    </xf>
    <xf numFmtId="0" fontId="4" fillId="3" borderId="2" xfId="0" applyFont="true" applyFill="true" applyBorder="true" applyAlignment="true" applyProtection="true">
      <alignment horizontal="center"/>
      <protection hidden="true"/>
    </xf>
    <xf numFmtId="0" fontId="4" fillId="3" borderId="10" xfId="0" applyFont="true" applyFill="true" applyBorder="true" applyAlignment="true" applyProtection="true">
      <alignment horizontal="center"/>
      <protection hidden="true"/>
    </xf>
    <xf numFmtId="0" fontId="4" fillId="3" borderId="3" xfId="0" applyFont="true" applyFill="true" applyBorder="true" applyAlignment="true" applyProtection="true">
      <alignment horizontal="center"/>
      <protection hidden="true"/>
    </xf>
    <xf numFmtId="0" fontId="0" fillId="2" borderId="4" xfId="0" applyFill="true" applyBorder="true" applyAlignment="true" applyProtection="true">
      <alignment horizontal="center"/>
      <protection hidden="true"/>
    </xf>
    <xf numFmtId="14" fontId="0" fillId="2" borderId="1" xfId="0" applyNumberFormat="true" applyFill="true" applyBorder="true" applyAlignment="true" applyProtection="true">
      <alignment horizontal="center"/>
      <protection hidden="true"/>
    </xf>
    <xf numFmtId="0" fontId="0" fillId="2" borderId="5" xfId="0" applyFill="true" applyBorder="true" applyProtection="true">
      <protection hidden="true"/>
    </xf>
    <xf numFmtId="0" fontId="0" fillId="2" borderId="4" xfId="0" applyFill="true" applyBorder="true" applyProtection="true">
      <protection hidden="true"/>
    </xf>
    <xf numFmtId="0" fontId="0" fillId="2" borderId="1" xfId="0" applyFill="true" applyBorder="true" applyProtection="true">
      <protection hidden="true"/>
    </xf>
    <xf numFmtId="0" fontId="0" fillId="2" borderId="6" xfId="0" applyFill="true" applyBorder="true" applyProtection="true">
      <protection hidden="true"/>
    </xf>
    <xf numFmtId="0" fontId="0" fillId="2" borderId="11" xfId="0" applyFill="true" applyBorder="true" applyProtection="true">
      <protection hidden="true"/>
    </xf>
    <xf numFmtId="0" fontId="0" fillId="2" borderId="7" xfId="0" applyFill="true" applyBorder="true" applyProtection="true">
      <protection hidden="true"/>
    </xf>
    <xf numFmtId="10" fontId="1" fillId="5" borderId="9" xfId="0" applyNumberFormat="true" applyFont="true" applyFill="true" applyBorder="true" applyAlignment="true" applyProtection="true">
      <alignment horizontal="center"/>
      <protection hidden="true"/>
    </xf>
    <xf numFmtId="10" fontId="1" fillId="4" borderId="5" xfId="0" applyNumberFormat="true" applyFont="true" applyFill="true" applyBorder="true" applyAlignment="true" applyProtection="true">
      <alignment horizontal="center"/>
      <protection hidden="true"/>
    </xf>
    <xf numFmtId="10" fontId="1" fillId="6" borderId="5" xfId="0" applyNumberFormat="true" applyFont="true" applyFill="true" applyBorder="true" applyAlignment="true" applyProtection="true">
      <alignment horizontal="center"/>
      <protection hidden="true"/>
    </xf>
    <xf numFmtId="9" fontId="10" fillId="2" borderId="7" xfId="0" applyNumberFormat="true" applyFont="true" applyFill="true" applyBorder="true" applyAlignment="true" applyProtection="true">
      <alignment horizontal="center" vertical="center"/>
      <protection hidden="true"/>
    </xf>
    <xf numFmtId="0" fontId="13" fillId="0" borderId="0" xfId="1" applyFont="true"/>
    <xf numFmtId="0" fontId="14" fillId="0" borderId="0" xfId="1" applyFont="true" applyAlignment="true">
      <alignment vertical="center" wrapText="true"/>
    </xf>
    <xf numFmtId="0" fontId="13" fillId="0" borderId="0" xfId="1" applyFont="true" applyFill="true"/>
    <xf numFmtId="0" fontId="15" fillId="0" borderId="0" xfId="1" applyFont="true" applyFill="true" applyBorder="true" applyAlignment="true">
      <alignment vertical="top" wrapText="true"/>
    </xf>
    <xf numFmtId="0" fontId="16" fillId="0" borderId="0" xfId="1" applyFont="true" applyFill="true" applyBorder="true" applyAlignment="true">
      <alignment horizontal="center" vertical="center" wrapText="true"/>
    </xf>
    <xf numFmtId="0" fontId="14" fillId="0" borderId="0" xfId="1" applyFont="true" applyFill="true" applyBorder="true" applyAlignment="true">
      <alignment horizontal="center" vertical="center" wrapText="true"/>
    </xf>
    <xf numFmtId="0" fontId="13" fillId="0" borderId="4" xfId="1" applyFont="true" applyFill="true" applyBorder="true" applyAlignment="true">
      <alignment horizontal="left"/>
    </xf>
    <xf numFmtId="0" fontId="13" fillId="8" borderId="6" xfId="1" applyFont="true" applyFill="true" applyBorder="true" applyAlignment="true">
      <alignment horizontal="left"/>
    </xf>
    <xf numFmtId="0" fontId="19" fillId="7" borderId="32" xfId="1" applyFont="true" applyFill="true" applyBorder="true"/>
    <xf numFmtId="0" fontId="18" fillId="7" borderId="1" xfId="1" applyFont="true" applyFill="true" applyBorder="true" applyAlignment="true">
      <alignment horizontal="center"/>
    </xf>
    <xf numFmtId="0" fontId="20" fillId="8" borderId="1" xfId="2" applyFont="true" applyFill="true" applyBorder="true" applyAlignment="true">
      <alignment horizontal="left"/>
    </xf>
    <xf numFmtId="14" fontId="20" fillId="8" borderId="1" xfId="2" applyNumberFormat="true" applyFont="true" applyFill="true" applyBorder="true" applyAlignment="true">
      <alignment horizontal="left"/>
    </xf>
    <xf numFmtId="0" fontId="13" fillId="0" borderId="0" xfId="1" applyFont="true" applyBorder="true"/>
    <xf numFmtId="0" fontId="13" fillId="8" borderId="1" xfId="1" applyFont="true" applyFill="true" applyBorder="true" applyAlignment="true">
      <alignment horizontal="left"/>
    </xf>
    <xf numFmtId="14" fontId="13" fillId="8" borderId="1" xfId="1" applyNumberFormat="true" applyFont="true" applyFill="true" applyBorder="true" applyAlignment="true">
      <alignment horizontal="left"/>
    </xf>
    <xf numFmtId="0" fontId="1" fillId="10" borderId="4" xfId="0" applyFont="true" applyFill="true" applyBorder="true" applyAlignment="true" applyProtection="true">
      <alignment vertical="center"/>
    </xf>
    <xf numFmtId="0" fontId="1" fillId="10" borderId="1" xfId="0" applyNumberFormat="true" applyFont="true" applyFill="true" applyBorder="true" applyAlignment="true" applyProtection="true">
      <alignment horizontal="center" vertical="center"/>
      <protection hidden="true"/>
    </xf>
    <xf numFmtId="10" fontId="1" fillId="10" borderId="5" xfId="0" applyNumberFormat="true" applyFont="true" applyFill="true" applyBorder="true" applyAlignment="true" applyProtection="true">
      <alignment horizontal="center"/>
      <protection hidden="true"/>
    </xf>
    <xf numFmtId="0" fontId="1" fillId="11" borderId="4" xfId="0" applyFont="true" applyFill="true" applyBorder="true" applyAlignment="true" applyProtection="true">
      <alignment vertical="center"/>
    </xf>
    <xf numFmtId="0" fontId="1" fillId="11" borderId="1" xfId="0" applyNumberFormat="true" applyFont="true" applyFill="true" applyBorder="true" applyAlignment="true" applyProtection="true">
      <alignment horizontal="center" vertical="center"/>
      <protection hidden="true"/>
    </xf>
    <xf numFmtId="10" fontId="1" fillId="11" borderId="5" xfId="0" applyNumberFormat="true" applyFont="true" applyFill="true" applyBorder="true" applyAlignment="true" applyProtection="true">
      <alignment horizontal="center"/>
      <protection hidden="true"/>
    </xf>
    <xf numFmtId="0" fontId="1" fillId="9" borderId="4" xfId="0" applyFont="true" applyFill="true" applyBorder="true" applyAlignment="true" applyProtection="true">
      <alignment vertical="center"/>
    </xf>
    <xf numFmtId="0" fontId="1" fillId="9" borderId="1" xfId="0" applyNumberFormat="true" applyFont="true" applyFill="true" applyBorder="true" applyAlignment="true" applyProtection="true">
      <alignment horizontal="center" vertical="center"/>
      <protection hidden="true"/>
    </xf>
    <xf numFmtId="10" fontId="1" fillId="9" borderId="5" xfId="0" applyNumberFormat="true" applyFont="true" applyFill="true" applyBorder="true" applyAlignment="true" applyProtection="true">
      <alignment horizontal="center"/>
      <protection hidden="true"/>
    </xf>
    <xf numFmtId="0" fontId="1" fillId="12" borderId="4" xfId="0" applyFont="true" applyFill="true" applyBorder="true" applyAlignment="true" applyProtection="true">
      <alignment vertical="center"/>
    </xf>
    <xf numFmtId="0" fontId="1" fillId="12" borderId="1" xfId="0" applyNumberFormat="true" applyFont="true" applyFill="true" applyBorder="true" applyAlignment="true" applyProtection="true">
      <alignment horizontal="center" vertical="center"/>
      <protection hidden="true"/>
    </xf>
    <xf numFmtId="10" fontId="1" fillId="12" borderId="5" xfId="0" applyNumberFormat="true" applyFont="true" applyFill="true" applyBorder="true" applyAlignment="true" applyProtection="true">
      <alignment horizontal="center"/>
      <protection hidden="true"/>
    </xf>
    <xf numFmtId="0" fontId="13" fillId="8" borderId="1" xfId="1" applyFont="true" applyFill="true" applyBorder="true" applyAlignment="true">
      <alignment horizontal="left"/>
    </xf>
    <xf numFmtId="15" fontId="13" fillId="8" borderId="28" xfId="1" applyNumberFormat="true" applyFont="true" applyFill="true" applyBorder="true" applyAlignment="true">
      <alignment horizontal="left"/>
    </xf>
    <xf numFmtId="0" fontId="13" fillId="8" borderId="26" xfId="1" applyFont="true" applyFill="true" applyBorder="true" applyAlignment="true">
      <alignment horizontal="left"/>
    </xf>
    <xf numFmtId="0" fontId="13" fillId="8" borderId="33" xfId="1" applyFont="true" applyFill="true" applyBorder="true" applyAlignment="true">
      <alignment horizontal="left"/>
    </xf>
    <xf numFmtId="0" fontId="18" fillId="7" borderId="1" xfId="1" applyFont="true" applyFill="true" applyBorder="true" applyAlignment="true">
      <alignment horizontal="center"/>
    </xf>
    <xf numFmtId="0" fontId="18" fillId="7" borderId="28" xfId="1" applyFont="true" applyFill="true" applyBorder="true" applyAlignment="true">
      <alignment horizontal="center"/>
    </xf>
    <xf numFmtId="0" fontId="18" fillId="7" borderId="26" xfId="1" applyFont="true" applyFill="true" applyBorder="true" applyAlignment="true">
      <alignment horizontal="center"/>
    </xf>
    <xf numFmtId="0" fontId="18" fillId="7" borderId="33" xfId="1" applyFont="true" applyFill="true" applyBorder="true" applyAlignment="true">
      <alignment horizontal="center"/>
    </xf>
    <xf numFmtId="0" fontId="17" fillId="7" borderId="12" xfId="1" applyFont="true" applyFill="true" applyBorder="true" applyAlignment="true">
      <alignment horizontal="center"/>
    </xf>
    <xf numFmtId="0" fontId="17" fillId="7" borderId="14" xfId="1" applyFont="true" applyFill="true" applyBorder="true" applyAlignment="true">
      <alignment horizontal="center"/>
    </xf>
    <xf numFmtId="0" fontId="18" fillId="7" borderId="22" xfId="1" applyFont="true" applyFill="true" applyBorder="true" applyAlignment="true">
      <alignment horizontal="left"/>
    </xf>
    <xf numFmtId="0" fontId="18" fillId="7" borderId="23" xfId="1" applyFont="true" applyFill="true" applyBorder="true" applyAlignment="true">
      <alignment horizontal="left"/>
    </xf>
    <xf numFmtId="0" fontId="18" fillId="7" borderId="24" xfId="1" applyFont="true" applyFill="true" applyBorder="true" applyAlignment="true">
      <alignment horizontal="left"/>
    </xf>
    <xf numFmtId="0" fontId="13" fillId="8" borderId="25" xfId="1" applyFont="true" applyFill="true" applyBorder="true" applyAlignment="true">
      <alignment horizontal="left"/>
    </xf>
    <xf numFmtId="0" fontId="13" fillId="8" borderId="27" xfId="1" applyFont="true" applyFill="true" applyBorder="true" applyAlignment="true">
      <alignment horizontal="left"/>
    </xf>
    <xf numFmtId="0" fontId="13" fillId="8" borderId="28" xfId="1" applyFont="true" applyFill="true" applyBorder="true" applyAlignment="true">
      <alignment horizontal="center"/>
    </xf>
    <xf numFmtId="0" fontId="13" fillId="8" borderId="26" xfId="1" applyFont="true" applyFill="true" applyBorder="true" applyAlignment="true">
      <alignment horizontal="center"/>
    </xf>
    <xf numFmtId="0" fontId="13" fillId="8" borderId="27" xfId="1" applyFont="true" applyFill="true" applyBorder="true" applyAlignment="true">
      <alignment horizontal="center"/>
    </xf>
    <xf numFmtId="0" fontId="13" fillId="8" borderId="29" xfId="1" applyFont="true" applyFill="true" applyBorder="true" applyAlignment="true">
      <alignment horizontal="center"/>
    </xf>
    <xf numFmtId="0" fontId="13" fillId="8" borderId="30" xfId="1" applyFont="true" applyFill="true" applyBorder="true" applyAlignment="true">
      <alignment horizontal="center"/>
    </xf>
    <xf numFmtId="0" fontId="13" fillId="8" borderId="31" xfId="1" applyFont="true" applyFill="true" applyBorder="true" applyAlignment="true">
      <alignment horizontal="center"/>
    </xf>
    <xf numFmtId="0" fontId="20" fillId="8" borderId="28" xfId="2" applyFont="true" applyFill="true" applyBorder="true" applyAlignment="true">
      <alignment horizontal="left"/>
    </xf>
    <xf numFmtId="0" fontId="20" fillId="8" borderId="33" xfId="2" applyFont="true" applyFill="true" applyBorder="true" applyAlignment="true">
      <alignment horizontal="left"/>
    </xf>
    <xf numFmtId="0" fontId="20" fillId="8" borderId="26" xfId="2" applyFont="true" applyFill="true" applyBorder="true" applyAlignment="true">
      <alignment horizontal="left"/>
    </xf>
    <xf numFmtId="0" fontId="15" fillId="7" borderId="2" xfId="1" applyFont="true" applyFill="true" applyBorder="true" applyAlignment="true">
      <alignment vertical="top" wrapText="true"/>
    </xf>
    <xf numFmtId="0" fontId="15" fillId="7" borderId="4" xfId="1" applyFont="true" applyFill="true" applyBorder="true" applyAlignment="true">
      <alignment vertical="top" wrapText="true"/>
    </xf>
    <xf numFmtId="0" fontId="15" fillId="7" borderId="6" xfId="1" applyFont="true" applyFill="true" applyBorder="true" applyAlignment="true">
      <alignment vertical="top" wrapText="true"/>
    </xf>
    <xf numFmtId="0" fontId="16" fillId="7" borderId="10" xfId="1" applyFont="true" applyFill="true" applyBorder="true" applyAlignment="true">
      <alignment horizontal="center" vertical="center" wrapText="true"/>
    </xf>
    <xf numFmtId="0" fontId="16" fillId="7" borderId="1" xfId="1" applyFont="true" applyFill="true" applyBorder="true" applyAlignment="true">
      <alignment horizontal="center" vertical="center" wrapText="true"/>
    </xf>
    <xf numFmtId="0" fontId="16" fillId="7" borderId="11" xfId="1" applyFont="true" applyFill="true" applyBorder="true" applyAlignment="true">
      <alignment horizontal="center" vertical="center" wrapText="true"/>
    </xf>
    <xf numFmtId="0" fontId="14" fillId="7" borderId="3" xfId="1" applyFont="true" applyFill="true" applyBorder="true" applyAlignment="true">
      <alignment horizontal="center" vertical="center" wrapText="true"/>
    </xf>
    <xf numFmtId="0" fontId="14" fillId="7" borderId="5" xfId="1" applyFont="true" applyFill="true" applyBorder="true" applyAlignment="true">
      <alignment horizontal="center" vertical="center" wrapText="true"/>
    </xf>
    <xf numFmtId="0" fontId="14" fillId="7" borderId="7" xfId="1" applyFont="true" applyFill="true" applyBorder="true" applyAlignment="true">
      <alignment horizontal="center" vertical="center" wrapText="true"/>
    </xf>
    <xf numFmtId="0" fontId="0" fillId="2" borderId="1" xfId="0" applyFill="true" applyBorder="true" applyAlignment="true" applyProtection="true">
      <alignment horizontal="center" vertical="center"/>
    </xf>
    <xf numFmtId="0" fontId="0" fillId="2" borderId="5" xfId="0" applyFill="true" applyBorder="true" applyAlignment="true" applyProtection="true">
      <alignment horizontal="center" vertical="center"/>
    </xf>
    <xf numFmtId="0" fontId="7" fillId="2" borderId="11" xfId="0" applyFont="true" applyFill="true" applyBorder="true" applyAlignment="true" applyProtection="true">
      <alignment horizontal="center" vertical="center"/>
    </xf>
    <xf numFmtId="0" fontId="7" fillId="2" borderId="7" xfId="0" applyFont="true" applyFill="true" applyBorder="true" applyAlignment="true" applyProtection="true">
      <alignment horizontal="center" vertical="center"/>
    </xf>
    <xf numFmtId="0" fontId="4" fillId="3" borderId="15" xfId="0" applyFont="true" applyFill="true" applyBorder="true" applyAlignment="true" applyProtection="true">
      <alignment horizontal="center"/>
    </xf>
    <xf numFmtId="0" fontId="4" fillId="3" borderId="18" xfId="0" applyFont="true" applyFill="true" applyBorder="true" applyAlignment="true" applyProtection="true">
      <alignment horizontal="center"/>
    </xf>
    <xf numFmtId="0" fontId="4" fillId="3" borderId="16" xfId="0" applyFont="true" applyFill="true" applyBorder="true" applyAlignment="true" applyProtection="true">
      <alignment horizontal="center"/>
    </xf>
    <xf numFmtId="0" fontId="8" fillId="3" borderId="19" xfId="0" applyFont="true" applyFill="true" applyBorder="true" applyAlignment="true" applyProtection="true">
      <alignment horizontal="center"/>
    </xf>
    <xf numFmtId="0" fontId="8" fillId="3" borderId="20" xfId="0" applyFont="true" applyFill="true" applyBorder="true" applyAlignment="true" applyProtection="true">
      <alignment horizontal="center"/>
    </xf>
    <xf numFmtId="0" fontId="8" fillId="3" borderId="21" xfId="0" applyFont="true" applyFill="true" applyBorder="true" applyAlignment="true" applyProtection="true">
      <alignment horizontal="center"/>
    </xf>
    <xf numFmtId="0" fontId="4" fillId="3" borderId="12" xfId="0" applyFont="true" applyFill="true" applyBorder="true" applyAlignment="true" applyProtection="true">
      <alignment horizontal="center"/>
    </xf>
    <xf numFmtId="0" fontId="4" fillId="3" borderId="13" xfId="0" applyFont="true" applyFill="true" applyBorder="true" applyAlignment="true" applyProtection="true">
      <alignment horizontal="center"/>
    </xf>
    <xf numFmtId="0" fontId="4" fillId="3" borderId="14" xfId="0" applyFont="true" applyFill="true" applyBorder="true" applyAlignment="true" applyProtection="true">
      <alignment horizontal="center"/>
    </xf>
    <xf numFmtId="0" fontId="0" fillId="2" borderId="10" xfId="0" applyFill="true" applyBorder="true" applyAlignment="true" applyProtection="true">
      <alignment horizontal="center" vertical="center"/>
    </xf>
    <xf numFmtId="0" fontId="0" fillId="2" borderId="3" xfId="0" applyFill="true" applyBorder="true" applyAlignment="true" applyProtection="true">
      <alignment horizontal="center" vertical="center"/>
    </xf>
    <xf numFmtId="22" fontId="0" fillId="2" borderId="1" xfId="0" applyNumberFormat="true" applyFill="true" applyBorder="true" applyAlignment="true" applyProtection="true">
      <alignment horizontal="center" vertical="center"/>
    </xf>
    <xf numFmtId="22" fontId="0" fillId="2" borderId="5" xfId="0" applyNumberFormat="true" applyFill="true" applyBorder="true" applyAlignment="true" applyProtection="true">
      <alignment horizontal="center" vertical="center"/>
    </xf>
    <xf numFmtId="0" fontId="4" fillId="3" borderId="1" xfId="0" applyFont="true" applyFill="true" applyBorder="true" applyAlignment="true">
      <alignment horizontal="center"/>
    </xf>
  </cellXfs>
  <cellStyles count="3">
    <cellStyle name="Normal" xfId="0" builtinId="0"/>
    <cellStyle name="Normal_GSCSW-WDG-RTM-001" xfId="2"/>
    <cellStyle name="Normal_VIAS-C-001-Estimating Considerations Checklist" xfId="1"/>
  </cellStyles>
  <dxfs count="29">
    <dxf>
      <fill>
        <patternFill>
          <bgColor rgb="FFFFC000"/>
        </patternFill>
      </fill>
    </dxf>
    <dxf>
      <border>
        <left style="thin">
          <color auto="true"/>
        </left>
        <right style="thin">
          <color auto="true"/>
        </right>
        <top style="thin">
          <color auto="true"/>
        </top>
        <bottom style="thin">
          <color auto="true"/>
        </bottom>
        <vertical/>
        <horizontal/>
      </border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border>
        <left style="thin">
          <color auto="true"/>
        </left>
        <right style="thin">
          <color auto="true"/>
        </right>
        <top style="thin">
          <color auto="true"/>
        </top>
        <bottom style="thin">
          <color auto="true"/>
        </bottom>
        <vertical/>
        <horizontal/>
      </border>
    </dxf>
    <dxf>
      <fill>
        <patternFill>
          <bgColor theme="0" tint="-0.24994659260842"/>
        </patternFill>
      </fill>
    </dxf>
    <dxf>
      <border>
        <left style="thin">
          <color auto="true"/>
        </left>
        <right style="thin">
          <color auto="true"/>
        </right>
        <top style="thin">
          <color auto="true"/>
        </top>
        <bottom style="thin">
          <color auto="true"/>
        </bottom>
        <vertical/>
        <horizontal/>
      </border>
    </dxf>
    <dxf>
      <fill>
        <patternFill>
          <bgColor theme="0" tint="-0.24994659260842"/>
        </patternFill>
      </fill>
    </dxf>
    <dxf>
      <font>
        <b/>
        <i val="false"/>
      </font>
      <fill>
        <patternFill patternType="solid">
          <fgColor auto="true"/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92D050"/>
        </patternFill>
      </fill>
    </dxf>
    <dxf>
      <fill>
        <patternFill>
          <bgColor theme="0" tint="-0.24994659260842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0" tint="-0.3499862666707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border>
        <left style="thin">
          <color auto="true"/>
        </left>
        <right style="thin">
          <color auto="true"/>
        </right>
        <top style="thin">
          <color auto="true"/>
        </top>
        <bottom style="thin">
          <color auto="true"/>
        </bottom>
      </border>
    </dxf>
    <dxf>
      <fill>
        <patternFill>
          <bgColor rgb="FFFF0000"/>
        </patternFill>
      </fill>
    </dxf>
    <dxf>
      <border>
        <left style="thin">
          <color auto="true"/>
        </left>
        <right style="thin">
          <color auto="true"/>
        </right>
        <top style="thin">
          <color auto="true"/>
        </top>
        <bottom style="thin">
          <color auto="true"/>
        </bottom>
        <vertical/>
        <horizontal/>
      </border>
    </dxf>
    <dxf>
      <fill>
        <patternFill>
          <bgColor rgb="FF00B050"/>
        </patternFill>
      </fill>
    </dxf>
    <dxf>
      <border>
        <left style="thin">
          <color auto="true"/>
        </left>
        <right style="thin">
          <color auto="true"/>
        </right>
        <top style="thin">
          <color auto="true"/>
        </top>
        <bottom style="thin">
          <color auto="true"/>
        </bottom>
        <vertical/>
        <horizontal/>
      </border>
    </dxf>
    <dxf>
      <fill>
        <patternFill>
          <bgColor rgb="FF92D050"/>
        </patternFill>
      </fill>
    </dxf>
    <dxf>
      <border>
        <left style="thin">
          <color auto="true"/>
        </left>
        <right style="thin">
          <color auto="true"/>
        </right>
        <top style="thin">
          <color auto="true"/>
        </top>
        <bottom style="thin">
          <color auto="true"/>
        </bottom>
        <vertical/>
        <horizontal/>
      </border>
    </dxf>
    <dxf>
      <border>
        <left style="thin">
          <color auto="true"/>
        </left>
        <right style="thin">
          <color auto="true"/>
        </right>
        <top style="thin">
          <color auto="true"/>
        </top>
        <bottom style="thin">
          <color auto="true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haredStrings.xml" Type="http://schemas.openxmlformats.org/officeDocument/2006/relationships/sharedStrings" Id="rId8"/><Relationship Target="worksheets/sheet3.xml" Type="http://schemas.openxmlformats.org/officeDocument/2006/relationships/worksheet" Id="rId3"/><Relationship Target="styles.xml" Type="http://schemas.openxmlformats.org/officeDocument/2006/relationships/style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theme/theme1.xml" Type="http://schemas.openxmlformats.org/officeDocument/2006/relationships/theme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Review Completeness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ofPieChart>
        <c:ofPieType val="pie"/>
        <c:varyColors val="1"/>
        <c:ser>
          <c:idx val="0"/>
          <c:order val="0"/>
          <c:tx>
            <c:v>Answers</c:v>
          </c:tx>
          <c:spPr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gradFill rotWithShape="0">
                <a:gsLst>
                  <a:gs pos="0">
                    <a:srgbClr val="FFFFFF"/>
                  </a:gs>
                  <a:gs pos="100000">
                    <a:srgbClr val="FFFFFF">
                      <a:gamma/>
                      <a:tint val="95294"/>
                      <a:invGamma/>
                    </a:srgbClr>
                  </a:gs>
                </a:gsLst>
                <a:lin ang="270000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A90-4BA0-A92C-8D0E4399AD7D}"/>
              </c:ext>
            </c:extLst>
          </c:dPt>
          <c:dPt>
            <c:idx val="1"/>
            <c:bubble3D val="0"/>
            <c:spPr>
              <a:solidFill>
                <a:srgbClr val="008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A90-4BA0-A92C-8D0E4399AD7D}"/>
              </c:ext>
            </c:extLst>
          </c:dPt>
          <c:dPt>
            <c:idx val="2"/>
            <c:bubble3D val="0"/>
            <c:spPr>
              <a:solidFill>
                <a:srgbClr val="C0C0C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A90-4BA0-A92C-8D0E4399AD7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A90-4BA0-A92C-8D0E4399AD7D}"/>
              </c:ext>
            </c:extLst>
          </c:dPt>
          <c:dPt>
            <c:idx val="4"/>
            <c:bubble3D val="0"/>
            <c:spPr>
              <a:blipFill dpi="0" rotWithShape="0">
                <a:blip xmlns:r="http://schemas.openxmlformats.org/officeDocument/2006/relationships"/>
                <a:srcRect/>
                <a:tile tx="0" ty="0" sx="100000" sy="100000" flip="none" algn="tl"/>
              </a:blip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A90-4BA0-A92C-8D0E4399AD7D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5A90-4BA0-A92C-8D0E4399AD7D}"/>
              </c:ext>
            </c:extLst>
          </c:dPt>
          <c:dLbls>
            <c:dLbl>
              <c:idx val="1"/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50" b="1" i="0" u="none" strike="noStrike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A90-4BA0-A92C-8D0E4399AD7D}"/>
                </c:ext>
              </c:extLst>
            </c:dLbl>
            <c:dLbl>
              <c:idx val="3"/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5A90-4BA0-A92C-8D0E4399AD7D}"/>
                </c:ext>
              </c:extLst>
            </c:dLbl>
            <c:dLbl>
              <c:idx val="4"/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5A90-4BA0-A92C-8D0E4399AD7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pPr>
                      <a:defRPr sz="250" b="1" i="0" u="none" strike="noStrike" baseline="0">
                        <a:solidFill>
                          <a:srgbClr val="FFFFFF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No
16%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A90-4BA0-A92C-8D0E4399AD7D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Not Answered</c:v>
              </c:pt>
              <c:pt idx="1">
                <c:v>Yes</c:v>
              </c:pt>
              <c:pt idx="2">
                <c:v>N/A</c:v>
              </c:pt>
              <c:pt idx="3">
                <c:v>Assigned defects</c:v>
              </c:pt>
              <c:pt idx="4">
                <c:v>Missing defect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C-5A90-4BA0-A92C-8D0E4399A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25"/>
        <c:splitType val="pos"/>
        <c:splitPos val="2"/>
        <c:secondPieSize val="55"/>
        <c:serLines>
          <c:spPr>
            <a:ln w="3175">
              <a:solidFill>
                <a:srgbClr val="000000"/>
              </a:solidFill>
              <a:prstDash val="solid"/>
            </a:ln>
          </c:spPr>
        </c:serLines>
      </c:of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Work Product Quality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v>Answers</c:v>
          </c:tx>
          <c:spPr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00E-40DF-A195-0585A9CD0D33}"/>
              </c:ext>
            </c:extLst>
          </c:dPt>
          <c:dPt>
            <c:idx val="1"/>
            <c:bubble3D val="0"/>
            <c:spPr>
              <a:solidFill>
                <a:srgbClr val="008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00E-40DF-A195-0585A9CD0D33}"/>
              </c:ext>
            </c:extLst>
          </c:dPt>
          <c:dLbls>
            <c:dLbl>
              <c:idx val="5"/>
              <c:tx>
                <c:rich>
                  <a:bodyPr/>
                  <a:lstStyle/>
                  <a:p>
                    <a:pPr>
                      <a:defRPr sz="175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No
16%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00E-40DF-A195-0585A9CD0D33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75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% No</c:v>
              </c:pt>
              <c:pt idx="1">
                <c:v>% Yes</c:v>
              </c:pt>
            </c:str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B00E-40DF-A195-0585A9CD0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?><Relationships xmlns="http://schemas.openxmlformats.org/package/2006/relationships"><Relationship Target="../charts/chart2.xml" Type="http://schemas.openxmlformats.org/officeDocument/2006/relationships/chart" Id="rId3"/><Relationship Target="../charts/chart1.xml" Type="http://schemas.openxmlformats.org/officeDocument/2006/relationships/chart" Id="rId2"/><Relationship Target="../media/image1.jpe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68580</xdr:colOff>
      <xdr:row>1</xdr:row>
      <xdr:rowOff>68580</xdr:rowOff>
    </xdr:from>
    <xdr:to>
      <xdr:col>1</xdr:col>
      <xdr:colOff>998220</xdr:colOff>
      <xdr:row>2</xdr:row>
      <xdr:rowOff>236220</xdr:rowOff>
    </xdr:to>
    <xdr:pic>
      <xdr:nvPicPr>
        <xdr:cNvPr id="2" name="Picture 1" descr="valeo_rgb"/>
        <xdr:cNvPicPr>
          <a:picLocks noChangeAspect="true" noChangeArrowheads="true"/>
        </xdr:cNvPicPr>
      </xdr:nvPicPr>
      <xdr:blipFill>
        <a:blip r:embed="rId1" cstate="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" y="228600"/>
          <a:ext cx="929640" cy="419100"/>
        </a:xfrm>
        <a:prstGeom prst="rect">
          <a:avLst/>
        </a:prstGeom>
        <a:noFill/>
        <a:ln>
          <a:noFill/>
        </a:ln>
        <a:extLst>
          <a:ext xmlns:a="http://schemas.openxmlformats.org/drawingml/2006/main" xmlns:a14="http://schemas.microsoft.com/office/drawing/2010/main"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xmlns:a="http://schemas.openxmlformats.org/drawingml/2006/main" xmlns:a14="http://schemas.microsoft.com/office/drawing/2010/main"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5</xdr:row>
      <xdr:rowOff>0</xdr:rowOff>
    </xdr:from>
    <xdr:to>
      <xdr:col>10</xdr:col>
      <xdr:colOff>243840</xdr:colOff>
      <xdr:row>5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289560</xdr:colOff>
      <xdr:row>5</xdr:row>
      <xdr:rowOff>0</xdr:rowOff>
    </xdr:from>
    <xdr:to>
      <xdr:col>17</xdr:col>
      <xdr:colOff>274320</xdr:colOff>
      <xdr:row>5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2"/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_rels/sheet3.xml.rels><?xml version="1.0" encoding="UTF-8"?><Relationships xmlns="http://schemas.openxmlformats.org/package/2006/relationships"><Relationship Target="../printerSettings/printerSettings3.bin" Type="http://schemas.openxmlformats.org/officeDocument/2006/relationships/printerSettings" Id="rId1"/></Relationships>
</file>

<file path=xl/worksheets/_rels/sheet4.xml.rels><?xml version="1.0" encoding="UTF-8"?><Relationships xmlns="http://schemas.openxmlformats.org/package/2006/relationships"><Relationship Target="../printerSettings/printerSettings4.bin" Type="http://schemas.openxmlformats.org/officeDocument/2006/relationships/printerSettings" Id="rId1"/></Relationships>
</file>

<file path=xl/worksheets/_rels/sheet5.xml.rels><?xml version="1.0" encoding="UTF-8"?><Relationships xmlns="http://schemas.openxmlformats.org/package/2006/relationships"><Relationship Target="../printerSettings/printerSettings5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0"/>
  <sheetViews>
    <sheetView workbookViewId="0">
      <selection activeCell="H6" sqref="H6"/>
    </sheetView>
  </sheetViews>
  <sheetFormatPr defaultColWidth="9.08984375" defaultRowHeight="15.5" outlineLevelRow="1" x14ac:dyDescent="0.35"/>
  <cols>
    <col min="1" max="1" width="9.08984375" style="43"/>
    <col min="2" max="2" width="23.453125" style="43" customWidth="1"/>
    <col min="3" max="3" width="28.36328125" style="43" customWidth="1"/>
    <col min="4" max="4" width="20.54296875" style="43" customWidth="1"/>
    <col min="5" max="5" width="7.453125" style="43" customWidth="1"/>
    <col min="6" max="6" width="17.36328125" style="43" customWidth="1"/>
    <col min="7" max="7" width="9.08984375" style="43"/>
    <col min="8" max="8" width="23.08984375" style="43" customWidth="1"/>
    <col min="9" max="9" width="9.08984375" style="43"/>
    <col min="10" max="10" width="15.08984375" style="43" customWidth="1"/>
    <col min="11" max="11" width="13.6328125" style="43" customWidth="1"/>
    <col min="12" max="257" width="9.08984375" style="43"/>
    <col min="258" max="258" width="23.453125" style="43" customWidth="1"/>
    <col min="259" max="259" width="28.36328125" style="43" customWidth="1"/>
    <col min="260" max="260" width="20.54296875" style="43" customWidth="1"/>
    <col min="261" max="261" width="7.453125" style="43" customWidth="1"/>
    <col min="262" max="262" width="17.36328125" style="43" customWidth="1"/>
    <col min="263" max="263" width="9.08984375" style="43"/>
    <col min="264" max="264" width="23.08984375" style="43" customWidth="1"/>
    <col min="265" max="265" width="9.08984375" style="43"/>
    <col min="266" max="266" width="15.08984375" style="43" customWidth="1"/>
    <col min="267" max="267" width="13.6328125" style="43" customWidth="1"/>
    <col min="268" max="513" width="9.08984375" style="43"/>
    <col min="514" max="514" width="23.453125" style="43" customWidth="1"/>
    <col min="515" max="515" width="28.36328125" style="43" customWidth="1"/>
    <col min="516" max="516" width="20.54296875" style="43" customWidth="1"/>
    <col min="517" max="517" width="7.453125" style="43" customWidth="1"/>
    <col min="518" max="518" width="17.36328125" style="43" customWidth="1"/>
    <col min="519" max="519" width="9.08984375" style="43"/>
    <col min="520" max="520" width="23.08984375" style="43" customWidth="1"/>
    <col min="521" max="521" width="9.08984375" style="43"/>
    <col min="522" max="522" width="15.08984375" style="43" customWidth="1"/>
    <col min="523" max="523" width="13.6328125" style="43" customWidth="1"/>
    <col min="524" max="769" width="9.08984375" style="43"/>
    <col min="770" max="770" width="23.453125" style="43" customWidth="1"/>
    <col min="771" max="771" width="28.36328125" style="43" customWidth="1"/>
    <col min="772" max="772" width="20.54296875" style="43" customWidth="1"/>
    <col min="773" max="773" width="7.453125" style="43" customWidth="1"/>
    <col min="774" max="774" width="17.36328125" style="43" customWidth="1"/>
    <col min="775" max="775" width="9.08984375" style="43"/>
    <col min="776" max="776" width="23.08984375" style="43" customWidth="1"/>
    <col min="777" max="777" width="9.08984375" style="43"/>
    <col min="778" max="778" width="15.08984375" style="43" customWidth="1"/>
    <col min="779" max="779" width="13.6328125" style="43" customWidth="1"/>
    <col min="780" max="1025" width="9.08984375" style="43"/>
    <col min="1026" max="1026" width="23.453125" style="43" customWidth="1"/>
    <col min="1027" max="1027" width="28.36328125" style="43" customWidth="1"/>
    <col min="1028" max="1028" width="20.54296875" style="43" customWidth="1"/>
    <col min="1029" max="1029" width="7.453125" style="43" customWidth="1"/>
    <col min="1030" max="1030" width="17.36328125" style="43" customWidth="1"/>
    <col min="1031" max="1031" width="9.08984375" style="43"/>
    <col min="1032" max="1032" width="23.08984375" style="43" customWidth="1"/>
    <col min="1033" max="1033" width="9.08984375" style="43"/>
    <col min="1034" max="1034" width="15.08984375" style="43" customWidth="1"/>
    <col min="1035" max="1035" width="13.6328125" style="43" customWidth="1"/>
    <col min="1036" max="1281" width="9.08984375" style="43"/>
    <col min="1282" max="1282" width="23.453125" style="43" customWidth="1"/>
    <col min="1283" max="1283" width="28.36328125" style="43" customWidth="1"/>
    <col min="1284" max="1284" width="20.54296875" style="43" customWidth="1"/>
    <col min="1285" max="1285" width="7.453125" style="43" customWidth="1"/>
    <col min="1286" max="1286" width="17.36328125" style="43" customWidth="1"/>
    <col min="1287" max="1287" width="9.08984375" style="43"/>
    <col min="1288" max="1288" width="23.08984375" style="43" customWidth="1"/>
    <col min="1289" max="1289" width="9.08984375" style="43"/>
    <col min="1290" max="1290" width="15.08984375" style="43" customWidth="1"/>
    <col min="1291" max="1291" width="13.6328125" style="43" customWidth="1"/>
    <col min="1292" max="1537" width="9.08984375" style="43"/>
    <col min="1538" max="1538" width="23.453125" style="43" customWidth="1"/>
    <col min="1539" max="1539" width="28.36328125" style="43" customWidth="1"/>
    <col min="1540" max="1540" width="20.54296875" style="43" customWidth="1"/>
    <col min="1541" max="1541" width="7.453125" style="43" customWidth="1"/>
    <col min="1542" max="1542" width="17.36328125" style="43" customWidth="1"/>
    <col min="1543" max="1543" width="9.08984375" style="43"/>
    <col min="1544" max="1544" width="23.08984375" style="43" customWidth="1"/>
    <col min="1545" max="1545" width="9.08984375" style="43"/>
    <col min="1546" max="1546" width="15.08984375" style="43" customWidth="1"/>
    <col min="1547" max="1547" width="13.6328125" style="43" customWidth="1"/>
    <col min="1548" max="1793" width="9.08984375" style="43"/>
    <col min="1794" max="1794" width="23.453125" style="43" customWidth="1"/>
    <col min="1795" max="1795" width="28.36328125" style="43" customWidth="1"/>
    <col min="1796" max="1796" width="20.54296875" style="43" customWidth="1"/>
    <col min="1797" max="1797" width="7.453125" style="43" customWidth="1"/>
    <col min="1798" max="1798" width="17.36328125" style="43" customWidth="1"/>
    <col min="1799" max="1799" width="9.08984375" style="43"/>
    <col min="1800" max="1800" width="23.08984375" style="43" customWidth="1"/>
    <col min="1801" max="1801" width="9.08984375" style="43"/>
    <col min="1802" max="1802" width="15.08984375" style="43" customWidth="1"/>
    <col min="1803" max="1803" width="13.6328125" style="43" customWidth="1"/>
    <col min="1804" max="2049" width="9.08984375" style="43"/>
    <col min="2050" max="2050" width="23.453125" style="43" customWidth="1"/>
    <col min="2051" max="2051" width="28.36328125" style="43" customWidth="1"/>
    <col min="2052" max="2052" width="20.54296875" style="43" customWidth="1"/>
    <col min="2053" max="2053" width="7.453125" style="43" customWidth="1"/>
    <col min="2054" max="2054" width="17.36328125" style="43" customWidth="1"/>
    <col min="2055" max="2055" width="9.08984375" style="43"/>
    <col min="2056" max="2056" width="23.08984375" style="43" customWidth="1"/>
    <col min="2057" max="2057" width="9.08984375" style="43"/>
    <col min="2058" max="2058" width="15.08984375" style="43" customWidth="1"/>
    <col min="2059" max="2059" width="13.6328125" style="43" customWidth="1"/>
    <col min="2060" max="2305" width="9.08984375" style="43"/>
    <col min="2306" max="2306" width="23.453125" style="43" customWidth="1"/>
    <col min="2307" max="2307" width="28.36328125" style="43" customWidth="1"/>
    <col min="2308" max="2308" width="20.54296875" style="43" customWidth="1"/>
    <col min="2309" max="2309" width="7.453125" style="43" customWidth="1"/>
    <col min="2310" max="2310" width="17.36328125" style="43" customWidth="1"/>
    <col min="2311" max="2311" width="9.08984375" style="43"/>
    <col min="2312" max="2312" width="23.08984375" style="43" customWidth="1"/>
    <col min="2313" max="2313" width="9.08984375" style="43"/>
    <col min="2314" max="2314" width="15.08984375" style="43" customWidth="1"/>
    <col min="2315" max="2315" width="13.6328125" style="43" customWidth="1"/>
    <col min="2316" max="2561" width="9.08984375" style="43"/>
    <col min="2562" max="2562" width="23.453125" style="43" customWidth="1"/>
    <col min="2563" max="2563" width="28.36328125" style="43" customWidth="1"/>
    <col min="2564" max="2564" width="20.54296875" style="43" customWidth="1"/>
    <col min="2565" max="2565" width="7.453125" style="43" customWidth="1"/>
    <col min="2566" max="2566" width="17.36328125" style="43" customWidth="1"/>
    <col min="2567" max="2567" width="9.08984375" style="43"/>
    <col min="2568" max="2568" width="23.08984375" style="43" customWidth="1"/>
    <col min="2569" max="2569" width="9.08984375" style="43"/>
    <col min="2570" max="2570" width="15.08984375" style="43" customWidth="1"/>
    <col min="2571" max="2571" width="13.6328125" style="43" customWidth="1"/>
    <col min="2572" max="2817" width="9.08984375" style="43"/>
    <col min="2818" max="2818" width="23.453125" style="43" customWidth="1"/>
    <col min="2819" max="2819" width="28.36328125" style="43" customWidth="1"/>
    <col min="2820" max="2820" width="20.54296875" style="43" customWidth="1"/>
    <col min="2821" max="2821" width="7.453125" style="43" customWidth="1"/>
    <col min="2822" max="2822" width="17.36328125" style="43" customWidth="1"/>
    <col min="2823" max="2823" width="9.08984375" style="43"/>
    <col min="2824" max="2824" width="23.08984375" style="43" customWidth="1"/>
    <col min="2825" max="2825" width="9.08984375" style="43"/>
    <col min="2826" max="2826" width="15.08984375" style="43" customWidth="1"/>
    <col min="2827" max="2827" width="13.6328125" style="43" customWidth="1"/>
    <col min="2828" max="3073" width="9.08984375" style="43"/>
    <col min="3074" max="3074" width="23.453125" style="43" customWidth="1"/>
    <col min="3075" max="3075" width="28.36328125" style="43" customWidth="1"/>
    <col min="3076" max="3076" width="20.54296875" style="43" customWidth="1"/>
    <col min="3077" max="3077" width="7.453125" style="43" customWidth="1"/>
    <col min="3078" max="3078" width="17.36328125" style="43" customWidth="1"/>
    <col min="3079" max="3079" width="9.08984375" style="43"/>
    <col min="3080" max="3080" width="23.08984375" style="43" customWidth="1"/>
    <col min="3081" max="3081" width="9.08984375" style="43"/>
    <col min="3082" max="3082" width="15.08984375" style="43" customWidth="1"/>
    <col min="3083" max="3083" width="13.6328125" style="43" customWidth="1"/>
    <col min="3084" max="3329" width="9.08984375" style="43"/>
    <col min="3330" max="3330" width="23.453125" style="43" customWidth="1"/>
    <col min="3331" max="3331" width="28.36328125" style="43" customWidth="1"/>
    <col min="3332" max="3332" width="20.54296875" style="43" customWidth="1"/>
    <col min="3333" max="3333" width="7.453125" style="43" customWidth="1"/>
    <col min="3334" max="3334" width="17.36328125" style="43" customWidth="1"/>
    <col min="3335" max="3335" width="9.08984375" style="43"/>
    <col min="3336" max="3336" width="23.08984375" style="43" customWidth="1"/>
    <col min="3337" max="3337" width="9.08984375" style="43"/>
    <col min="3338" max="3338" width="15.08984375" style="43" customWidth="1"/>
    <col min="3339" max="3339" width="13.6328125" style="43" customWidth="1"/>
    <col min="3340" max="3585" width="9.08984375" style="43"/>
    <col min="3586" max="3586" width="23.453125" style="43" customWidth="1"/>
    <col min="3587" max="3587" width="28.36328125" style="43" customWidth="1"/>
    <col min="3588" max="3588" width="20.54296875" style="43" customWidth="1"/>
    <col min="3589" max="3589" width="7.453125" style="43" customWidth="1"/>
    <col min="3590" max="3590" width="17.36328125" style="43" customWidth="1"/>
    <col min="3591" max="3591" width="9.08984375" style="43"/>
    <col min="3592" max="3592" width="23.08984375" style="43" customWidth="1"/>
    <col min="3593" max="3593" width="9.08984375" style="43"/>
    <col min="3594" max="3594" width="15.08984375" style="43" customWidth="1"/>
    <col min="3595" max="3595" width="13.6328125" style="43" customWidth="1"/>
    <col min="3596" max="3841" width="9.08984375" style="43"/>
    <col min="3842" max="3842" width="23.453125" style="43" customWidth="1"/>
    <col min="3843" max="3843" width="28.36328125" style="43" customWidth="1"/>
    <col min="3844" max="3844" width="20.54296875" style="43" customWidth="1"/>
    <col min="3845" max="3845" width="7.453125" style="43" customWidth="1"/>
    <col min="3846" max="3846" width="17.36328125" style="43" customWidth="1"/>
    <col min="3847" max="3847" width="9.08984375" style="43"/>
    <col min="3848" max="3848" width="23.08984375" style="43" customWidth="1"/>
    <col min="3849" max="3849" width="9.08984375" style="43"/>
    <col min="3850" max="3850" width="15.08984375" style="43" customWidth="1"/>
    <col min="3851" max="3851" width="13.6328125" style="43" customWidth="1"/>
    <col min="3852" max="4097" width="9.08984375" style="43"/>
    <col min="4098" max="4098" width="23.453125" style="43" customWidth="1"/>
    <col min="4099" max="4099" width="28.36328125" style="43" customWidth="1"/>
    <col min="4100" max="4100" width="20.54296875" style="43" customWidth="1"/>
    <col min="4101" max="4101" width="7.453125" style="43" customWidth="1"/>
    <col min="4102" max="4102" width="17.36328125" style="43" customWidth="1"/>
    <col min="4103" max="4103" width="9.08984375" style="43"/>
    <col min="4104" max="4104" width="23.08984375" style="43" customWidth="1"/>
    <col min="4105" max="4105" width="9.08984375" style="43"/>
    <col min="4106" max="4106" width="15.08984375" style="43" customWidth="1"/>
    <col min="4107" max="4107" width="13.6328125" style="43" customWidth="1"/>
    <col min="4108" max="4353" width="9.08984375" style="43"/>
    <col min="4354" max="4354" width="23.453125" style="43" customWidth="1"/>
    <col min="4355" max="4355" width="28.36328125" style="43" customWidth="1"/>
    <col min="4356" max="4356" width="20.54296875" style="43" customWidth="1"/>
    <col min="4357" max="4357" width="7.453125" style="43" customWidth="1"/>
    <col min="4358" max="4358" width="17.36328125" style="43" customWidth="1"/>
    <col min="4359" max="4359" width="9.08984375" style="43"/>
    <col min="4360" max="4360" width="23.08984375" style="43" customWidth="1"/>
    <col min="4361" max="4361" width="9.08984375" style="43"/>
    <col min="4362" max="4362" width="15.08984375" style="43" customWidth="1"/>
    <col min="4363" max="4363" width="13.6328125" style="43" customWidth="1"/>
    <col min="4364" max="4609" width="9.08984375" style="43"/>
    <col min="4610" max="4610" width="23.453125" style="43" customWidth="1"/>
    <col min="4611" max="4611" width="28.36328125" style="43" customWidth="1"/>
    <col min="4612" max="4612" width="20.54296875" style="43" customWidth="1"/>
    <col min="4613" max="4613" width="7.453125" style="43" customWidth="1"/>
    <col min="4614" max="4614" width="17.36328125" style="43" customWidth="1"/>
    <col min="4615" max="4615" width="9.08984375" style="43"/>
    <col min="4616" max="4616" width="23.08984375" style="43" customWidth="1"/>
    <col min="4617" max="4617" width="9.08984375" style="43"/>
    <col min="4618" max="4618" width="15.08984375" style="43" customWidth="1"/>
    <col min="4619" max="4619" width="13.6328125" style="43" customWidth="1"/>
    <col min="4620" max="4865" width="9.08984375" style="43"/>
    <col min="4866" max="4866" width="23.453125" style="43" customWidth="1"/>
    <col min="4867" max="4867" width="28.36328125" style="43" customWidth="1"/>
    <col min="4868" max="4868" width="20.54296875" style="43" customWidth="1"/>
    <col min="4869" max="4869" width="7.453125" style="43" customWidth="1"/>
    <col min="4870" max="4870" width="17.36328125" style="43" customWidth="1"/>
    <col min="4871" max="4871" width="9.08984375" style="43"/>
    <col min="4872" max="4872" width="23.08984375" style="43" customWidth="1"/>
    <col min="4873" max="4873" width="9.08984375" style="43"/>
    <col min="4874" max="4874" width="15.08984375" style="43" customWidth="1"/>
    <col min="4875" max="4875" width="13.6328125" style="43" customWidth="1"/>
    <col min="4876" max="5121" width="9.08984375" style="43"/>
    <col min="5122" max="5122" width="23.453125" style="43" customWidth="1"/>
    <col min="5123" max="5123" width="28.36328125" style="43" customWidth="1"/>
    <col min="5124" max="5124" width="20.54296875" style="43" customWidth="1"/>
    <col min="5125" max="5125" width="7.453125" style="43" customWidth="1"/>
    <col min="5126" max="5126" width="17.36328125" style="43" customWidth="1"/>
    <col min="5127" max="5127" width="9.08984375" style="43"/>
    <col min="5128" max="5128" width="23.08984375" style="43" customWidth="1"/>
    <col min="5129" max="5129" width="9.08984375" style="43"/>
    <col min="5130" max="5130" width="15.08984375" style="43" customWidth="1"/>
    <col min="5131" max="5131" width="13.6328125" style="43" customWidth="1"/>
    <col min="5132" max="5377" width="9.08984375" style="43"/>
    <col min="5378" max="5378" width="23.453125" style="43" customWidth="1"/>
    <col min="5379" max="5379" width="28.36328125" style="43" customWidth="1"/>
    <col min="5380" max="5380" width="20.54296875" style="43" customWidth="1"/>
    <col min="5381" max="5381" width="7.453125" style="43" customWidth="1"/>
    <col min="5382" max="5382" width="17.36328125" style="43" customWidth="1"/>
    <col min="5383" max="5383" width="9.08984375" style="43"/>
    <col min="5384" max="5384" width="23.08984375" style="43" customWidth="1"/>
    <col min="5385" max="5385" width="9.08984375" style="43"/>
    <col min="5386" max="5386" width="15.08984375" style="43" customWidth="1"/>
    <col min="5387" max="5387" width="13.6328125" style="43" customWidth="1"/>
    <col min="5388" max="5633" width="9.08984375" style="43"/>
    <col min="5634" max="5634" width="23.453125" style="43" customWidth="1"/>
    <col min="5635" max="5635" width="28.36328125" style="43" customWidth="1"/>
    <col min="5636" max="5636" width="20.54296875" style="43" customWidth="1"/>
    <col min="5637" max="5637" width="7.453125" style="43" customWidth="1"/>
    <col min="5638" max="5638" width="17.36328125" style="43" customWidth="1"/>
    <col min="5639" max="5639" width="9.08984375" style="43"/>
    <col min="5640" max="5640" width="23.08984375" style="43" customWidth="1"/>
    <col min="5641" max="5641" width="9.08984375" style="43"/>
    <col min="5642" max="5642" width="15.08984375" style="43" customWidth="1"/>
    <col min="5643" max="5643" width="13.6328125" style="43" customWidth="1"/>
    <col min="5644" max="5889" width="9.08984375" style="43"/>
    <col min="5890" max="5890" width="23.453125" style="43" customWidth="1"/>
    <col min="5891" max="5891" width="28.36328125" style="43" customWidth="1"/>
    <col min="5892" max="5892" width="20.54296875" style="43" customWidth="1"/>
    <col min="5893" max="5893" width="7.453125" style="43" customWidth="1"/>
    <col min="5894" max="5894" width="17.36328125" style="43" customWidth="1"/>
    <col min="5895" max="5895" width="9.08984375" style="43"/>
    <col min="5896" max="5896" width="23.08984375" style="43" customWidth="1"/>
    <col min="5897" max="5897" width="9.08984375" style="43"/>
    <col min="5898" max="5898" width="15.08984375" style="43" customWidth="1"/>
    <col min="5899" max="5899" width="13.6328125" style="43" customWidth="1"/>
    <col min="5900" max="6145" width="9.08984375" style="43"/>
    <col min="6146" max="6146" width="23.453125" style="43" customWidth="1"/>
    <col min="6147" max="6147" width="28.36328125" style="43" customWidth="1"/>
    <col min="6148" max="6148" width="20.54296875" style="43" customWidth="1"/>
    <col min="6149" max="6149" width="7.453125" style="43" customWidth="1"/>
    <col min="6150" max="6150" width="17.36328125" style="43" customWidth="1"/>
    <col min="6151" max="6151" width="9.08984375" style="43"/>
    <col min="6152" max="6152" width="23.08984375" style="43" customWidth="1"/>
    <col min="6153" max="6153" width="9.08984375" style="43"/>
    <col min="6154" max="6154" width="15.08984375" style="43" customWidth="1"/>
    <col min="6155" max="6155" width="13.6328125" style="43" customWidth="1"/>
    <col min="6156" max="6401" width="9.08984375" style="43"/>
    <col min="6402" max="6402" width="23.453125" style="43" customWidth="1"/>
    <col min="6403" max="6403" width="28.36328125" style="43" customWidth="1"/>
    <col min="6404" max="6404" width="20.54296875" style="43" customWidth="1"/>
    <col min="6405" max="6405" width="7.453125" style="43" customWidth="1"/>
    <col min="6406" max="6406" width="17.36328125" style="43" customWidth="1"/>
    <col min="6407" max="6407" width="9.08984375" style="43"/>
    <col min="6408" max="6408" width="23.08984375" style="43" customWidth="1"/>
    <col min="6409" max="6409" width="9.08984375" style="43"/>
    <col min="6410" max="6410" width="15.08984375" style="43" customWidth="1"/>
    <col min="6411" max="6411" width="13.6328125" style="43" customWidth="1"/>
    <col min="6412" max="6657" width="9.08984375" style="43"/>
    <col min="6658" max="6658" width="23.453125" style="43" customWidth="1"/>
    <col min="6659" max="6659" width="28.36328125" style="43" customWidth="1"/>
    <col min="6660" max="6660" width="20.54296875" style="43" customWidth="1"/>
    <col min="6661" max="6661" width="7.453125" style="43" customWidth="1"/>
    <col min="6662" max="6662" width="17.36328125" style="43" customWidth="1"/>
    <col min="6663" max="6663" width="9.08984375" style="43"/>
    <col min="6664" max="6664" width="23.08984375" style="43" customWidth="1"/>
    <col min="6665" max="6665" width="9.08984375" style="43"/>
    <col min="6666" max="6666" width="15.08984375" style="43" customWidth="1"/>
    <col min="6667" max="6667" width="13.6328125" style="43" customWidth="1"/>
    <col min="6668" max="6913" width="9.08984375" style="43"/>
    <col min="6914" max="6914" width="23.453125" style="43" customWidth="1"/>
    <col min="6915" max="6915" width="28.36328125" style="43" customWidth="1"/>
    <col min="6916" max="6916" width="20.54296875" style="43" customWidth="1"/>
    <col min="6917" max="6917" width="7.453125" style="43" customWidth="1"/>
    <col min="6918" max="6918" width="17.36328125" style="43" customWidth="1"/>
    <col min="6919" max="6919" width="9.08984375" style="43"/>
    <col min="6920" max="6920" width="23.08984375" style="43" customWidth="1"/>
    <col min="6921" max="6921" width="9.08984375" style="43"/>
    <col min="6922" max="6922" width="15.08984375" style="43" customWidth="1"/>
    <col min="6923" max="6923" width="13.6328125" style="43" customWidth="1"/>
    <col min="6924" max="7169" width="9.08984375" style="43"/>
    <col min="7170" max="7170" width="23.453125" style="43" customWidth="1"/>
    <col min="7171" max="7171" width="28.36328125" style="43" customWidth="1"/>
    <col min="7172" max="7172" width="20.54296875" style="43" customWidth="1"/>
    <col min="7173" max="7173" width="7.453125" style="43" customWidth="1"/>
    <col min="7174" max="7174" width="17.36328125" style="43" customWidth="1"/>
    <col min="7175" max="7175" width="9.08984375" style="43"/>
    <col min="7176" max="7176" width="23.08984375" style="43" customWidth="1"/>
    <col min="7177" max="7177" width="9.08984375" style="43"/>
    <col min="7178" max="7178" width="15.08984375" style="43" customWidth="1"/>
    <col min="7179" max="7179" width="13.6328125" style="43" customWidth="1"/>
    <col min="7180" max="7425" width="9.08984375" style="43"/>
    <col min="7426" max="7426" width="23.453125" style="43" customWidth="1"/>
    <col min="7427" max="7427" width="28.36328125" style="43" customWidth="1"/>
    <col min="7428" max="7428" width="20.54296875" style="43" customWidth="1"/>
    <col min="7429" max="7429" width="7.453125" style="43" customWidth="1"/>
    <col min="7430" max="7430" width="17.36328125" style="43" customWidth="1"/>
    <col min="7431" max="7431" width="9.08984375" style="43"/>
    <col min="7432" max="7432" width="23.08984375" style="43" customWidth="1"/>
    <col min="7433" max="7433" width="9.08984375" style="43"/>
    <col min="7434" max="7434" width="15.08984375" style="43" customWidth="1"/>
    <col min="7435" max="7435" width="13.6328125" style="43" customWidth="1"/>
    <col min="7436" max="7681" width="9.08984375" style="43"/>
    <col min="7682" max="7682" width="23.453125" style="43" customWidth="1"/>
    <col min="7683" max="7683" width="28.36328125" style="43" customWidth="1"/>
    <col min="7684" max="7684" width="20.54296875" style="43" customWidth="1"/>
    <col min="7685" max="7685" width="7.453125" style="43" customWidth="1"/>
    <col min="7686" max="7686" width="17.36328125" style="43" customWidth="1"/>
    <col min="7687" max="7687" width="9.08984375" style="43"/>
    <col min="7688" max="7688" width="23.08984375" style="43" customWidth="1"/>
    <col min="7689" max="7689" width="9.08984375" style="43"/>
    <col min="7690" max="7690" width="15.08984375" style="43" customWidth="1"/>
    <col min="7691" max="7691" width="13.6328125" style="43" customWidth="1"/>
    <col min="7692" max="7937" width="9.08984375" style="43"/>
    <col min="7938" max="7938" width="23.453125" style="43" customWidth="1"/>
    <col min="7939" max="7939" width="28.36328125" style="43" customWidth="1"/>
    <col min="7940" max="7940" width="20.54296875" style="43" customWidth="1"/>
    <col min="7941" max="7941" width="7.453125" style="43" customWidth="1"/>
    <col min="7942" max="7942" width="17.36328125" style="43" customWidth="1"/>
    <col min="7943" max="7943" width="9.08984375" style="43"/>
    <col min="7944" max="7944" width="23.08984375" style="43" customWidth="1"/>
    <col min="7945" max="7945" width="9.08984375" style="43"/>
    <col min="7946" max="7946" width="15.08984375" style="43" customWidth="1"/>
    <col min="7947" max="7947" width="13.6328125" style="43" customWidth="1"/>
    <col min="7948" max="8193" width="9.08984375" style="43"/>
    <col min="8194" max="8194" width="23.453125" style="43" customWidth="1"/>
    <col min="8195" max="8195" width="28.36328125" style="43" customWidth="1"/>
    <col min="8196" max="8196" width="20.54296875" style="43" customWidth="1"/>
    <col min="8197" max="8197" width="7.453125" style="43" customWidth="1"/>
    <col min="8198" max="8198" width="17.36328125" style="43" customWidth="1"/>
    <col min="8199" max="8199" width="9.08984375" style="43"/>
    <col min="8200" max="8200" width="23.08984375" style="43" customWidth="1"/>
    <col min="8201" max="8201" width="9.08984375" style="43"/>
    <col min="8202" max="8202" width="15.08984375" style="43" customWidth="1"/>
    <col min="8203" max="8203" width="13.6328125" style="43" customWidth="1"/>
    <col min="8204" max="8449" width="9.08984375" style="43"/>
    <col min="8450" max="8450" width="23.453125" style="43" customWidth="1"/>
    <col min="8451" max="8451" width="28.36328125" style="43" customWidth="1"/>
    <col min="8452" max="8452" width="20.54296875" style="43" customWidth="1"/>
    <col min="8453" max="8453" width="7.453125" style="43" customWidth="1"/>
    <col min="8454" max="8454" width="17.36328125" style="43" customWidth="1"/>
    <col min="8455" max="8455" width="9.08984375" style="43"/>
    <col min="8456" max="8456" width="23.08984375" style="43" customWidth="1"/>
    <col min="8457" max="8457" width="9.08984375" style="43"/>
    <col min="8458" max="8458" width="15.08984375" style="43" customWidth="1"/>
    <col min="8459" max="8459" width="13.6328125" style="43" customWidth="1"/>
    <col min="8460" max="8705" width="9.08984375" style="43"/>
    <col min="8706" max="8706" width="23.453125" style="43" customWidth="1"/>
    <col min="8707" max="8707" width="28.36328125" style="43" customWidth="1"/>
    <col min="8708" max="8708" width="20.54296875" style="43" customWidth="1"/>
    <col min="8709" max="8709" width="7.453125" style="43" customWidth="1"/>
    <col min="8710" max="8710" width="17.36328125" style="43" customWidth="1"/>
    <col min="8711" max="8711" width="9.08984375" style="43"/>
    <col min="8712" max="8712" width="23.08984375" style="43" customWidth="1"/>
    <col min="8713" max="8713" width="9.08984375" style="43"/>
    <col min="8714" max="8714" width="15.08984375" style="43" customWidth="1"/>
    <col min="8715" max="8715" width="13.6328125" style="43" customWidth="1"/>
    <col min="8716" max="8961" width="9.08984375" style="43"/>
    <col min="8962" max="8962" width="23.453125" style="43" customWidth="1"/>
    <col min="8963" max="8963" width="28.36328125" style="43" customWidth="1"/>
    <col min="8964" max="8964" width="20.54296875" style="43" customWidth="1"/>
    <col min="8965" max="8965" width="7.453125" style="43" customWidth="1"/>
    <col min="8966" max="8966" width="17.36328125" style="43" customWidth="1"/>
    <col min="8967" max="8967" width="9.08984375" style="43"/>
    <col min="8968" max="8968" width="23.08984375" style="43" customWidth="1"/>
    <col min="8969" max="8969" width="9.08984375" style="43"/>
    <col min="8970" max="8970" width="15.08984375" style="43" customWidth="1"/>
    <col min="8971" max="8971" width="13.6328125" style="43" customWidth="1"/>
    <col min="8972" max="9217" width="9.08984375" style="43"/>
    <col min="9218" max="9218" width="23.453125" style="43" customWidth="1"/>
    <col min="9219" max="9219" width="28.36328125" style="43" customWidth="1"/>
    <col min="9220" max="9220" width="20.54296875" style="43" customWidth="1"/>
    <col min="9221" max="9221" width="7.453125" style="43" customWidth="1"/>
    <col min="9222" max="9222" width="17.36328125" style="43" customWidth="1"/>
    <col min="9223" max="9223" width="9.08984375" style="43"/>
    <col min="9224" max="9224" width="23.08984375" style="43" customWidth="1"/>
    <col min="9225" max="9225" width="9.08984375" style="43"/>
    <col min="9226" max="9226" width="15.08984375" style="43" customWidth="1"/>
    <col min="9227" max="9227" width="13.6328125" style="43" customWidth="1"/>
    <col min="9228" max="9473" width="9.08984375" style="43"/>
    <col min="9474" max="9474" width="23.453125" style="43" customWidth="1"/>
    <col min="9475" max="9475" width="28.36328125" style="43" customWidth="1"/>
    <col min="9476" max="9476" width="20.54296875" style="43" customWidth="1"/>
    <col min="9477" max="9477" width="7.453125" style="43" customWidth="1"/>
    <col min="9478" max="9478" width="17.36328125" style="43" customWidth="1"/>
    <col min="9479" max="9479" width="9.08984375" style="43"/>
    <col min="9480" max="9480" width="23.08984375" style="43" customWidth="1"/>
    <col min="9481" max="9481" width="9.08984375" style="43"/>
    <col min="9482" max="9482" width="15.08984375" style="43" customWidth="1"/>
    <col min="9483" max="9483" width="13.6328125" style="43" customWidth="1"/>
    <col min="9484" max="9729" width="9.08984375" style="43"/>
    <col min="9730" max="9730" width="23.453125" style="43" customWidth="1"/>
    <col min="9731" max="9731" width="28.36328125" style="43" customWidth="1"/>
    <col min="9732" max="9732" width="20.54296875" style="43" customWidth="1"/>
    <col min="9733" max="9733" width="7.453125" style="43" customWidth="1"/>
    <col min="9734" max="9734" width="17.36328125" style="43" customWidth="1"/>
    <col min="9735" max="9735" width="9.08984375" style="43"/>
    <col min="9736" max="9736" width="23.08984375" style="43" customWidth="1"/>
    <col min="9737" max="9737" width="9.08984375" style="43"/>
    <col min="9738" max="9738" width="15.08984375" style="43" customWidth="1"/>
    <col min="9739" max="9739" width="13.6328125" style="43" customWidth="1"/>
    <col min="9740" max="9985" width="9.08984375" style="43"/>
    <col min="9986" max="9986" width="23.453125" style="43" customWidth="1"/>
    <col min="9987" max="9987" width="28.36328125" style="43" customWidth="1"/>
    <col min="9988" max="9988" width="20.54296875" style="43" customWidth="1"/>
    <col min="9989" max="9989" width="7.453125" style="43" customWidth="1"/>
    <col min="9990" max="9990" width="17.36328125" style="43" customWidth="1"/>
    <col min="9991" max="9991" width="9.08984375" style="43"/>
    <col min="9992" max="9992" width="23.08984375" style="43" customWidth="1"/>
    <col min="9993" max="9993" width="9.08984375" style="43"/>
    <col min="9994" max="9994" width="15.08984375" style="43" customWidth="1"/>
    <col min="9995" max="9995" width="13.6328125" style="43" customWidth="1"/>
    <col min="9996" max="10241" width="9.08984375" style="43"/>
    <col min="10242" max="10242" width="23.453125" style="43" customWidth="1"/>
    <col min="10243" max="10243" width="28.36328125" style="43" customWidth="1"/>
    <col min="10244" max="10244" width="20.54296875" style="43" customWidth="1"/>
    <col min="10245" max="10245" width="7.453125" style="43" customWidth="1"/>
    <col min="10246" max="10246" width="17.36328125" style="43" customWidth="1"/>
    <col min="10247" max="10247" width="9.08984375" style="43"/>
    <col min="10248" max="10248" width="23.08984375" style="43" customWidth="1"/>
    <col min="10249" max="10249" width="9.08984375" style="43"/>
    <col min="10250" max="10250" width="15.08984375" style="43" customWidth="1"/>
    <col min="10251" max="10251" width="13.6328125" style="43" customWidth="1"/>
    <col min="10252" max="10497" width="9.08984375" style="43"/>
    <col min="10498" max="10498" width="23.453125" style="43" customWidth="1"/>
    <col min="10499" max="10499" width="28.36328125" style="43" customWidth="1"/>
    <col min="10500" max="10500" width="20.54296875" style="43" customWidth="1"/>
    <col min="10501" max="10501" width="7.453125" style="43" customWidth="1"/>
    <col min="10502" max="10502" width="17.36328125" style="43" customWidth="1"/>
    <col min="10503" max="10503" width="9.08984375" style="43"/>
    <col min="10504" max="10504" width="23.08984375" style="43" customWidth="1"/>
    <col min="10505" max="10505" width="9.08984375" style="43"/>
    <col min="10506" max="10506" width="15.08984375" style="43" customWidth="1"/>
    <col min="10507" max="10507" width="13.6328125" style="43" customWidth="1"/>
    <col min="10508" max="10753" width="9.08984375" style="43"/>
    <col min="10754" max="10754" width="23.453125" style="43" customWidth="1"/>
    <col min="10755" max="10755" width="28.36328125" style="43" customWidth="1"/>
    <col min="10756" max="10756" width="20.54296875" style="43" customWidth="1"/>
    <col min="10757" max="10757" width="7.453125" style="43" customWidth="1"/>
    <col min="10758" max="10758" width="17.36328125" style="43" customWidth="1"/>
    <col min="10759" max="10759" width="9.08984375" style="43"/>
    <col min="10760" max="10760" width="23.08984375" style="43" customWidth="1"/>
    <col min="10761" max="10761" width="9.08984375" style="43"/>
    <col min="10762" max="10762" width="15.08984375" style="43" customWidth="1"/>
    <col min="10763" max="10763" width="13.6328125" style="43" customWidth="1"/>
    <col min="10764" max="11009" width="9.08984375" style="43"/>
    <col min="11010" max="11010" width="23.453125" style="43" customWidth="1"/>
    <col min="11011" max="11011" width="28.36328125" style="43" customWidth="1"/>
    <col min="11012" max="11012" width="20.54296875" style="43" customWidth="1"/>
    <col min="11013" max="11013" width="7.453125" style="43" customWidth="1"/>
    <col min="11014" max="11014" width="17.36328125" style="43" customWidth="1"/>
    <col min="11015" max="11015" width="9.08984375" style="43"/>
    <col min="11016" max="11016" width="23.08984375" style="43" customWidth="1"/>
    <col min="11017" max="11017" width="9.08984375" style="43"/>
    <col min="11018" max="11018" width="15.08984375" style="43" customWidth="1"/>
    <col min="11019" max="11019" width="13.6328125" style="43" customWidth="1"/>
    <col min="11020" max="11265" width="9.08984375" style="43"/>
    <col min="11266" max="11266" width="23.453125" style="43" customWidth="1"/>
    <col min="11267" max="11267" width="28.36328125" style="43" customWidth="1"/>
    <col min="11268" max="11268" width="20.54296875" style="43" customWidth="1"/>
    <col min="11269" max="11269" width="7.453125" style="43" customWidth="1"/>
    <col min="11270" max="11270" width="17.36328125" style="43" customWidth="1"/>
    <col min="11271" max="11271" width="9.08984375" style="43"/>
    <col min="11272" max="11272" width="23.08984375" style="43" customWidth="1"/>
    <col min="11273" max="11273" width="9.08984375" style="43"/>
    <col min="11274" max="11274" width="15.08984375" style="43" customWidth="1"/>
    <col min="11275" max="11275" width="13.6328125" style="43" customWidth="1"/>
    <col min="11276" max="11521" width="9.08984375" style="43"/>
    <col min="11522" max="11522" width="23.453125" style="43" customWidth="1"/>
    <col min="11523" max="11523" width="28.36328125" style="43" customWidth="1"/>
    <col min="11524" max="11524" width="20.54296875" style="43" customWidth="1"/>
    <col min="11525" max="11525" width="7.453125" style="43" customWidth="1"/>
    <col min="11526" max="11526" width="17.36328125" style="43" customWidth="1"/>
    <col min="11527" max="11527" width="9.08984375" style="43"/>
    <col min="11528" max="11528" width="23.08984375" style="43" customWidth="1"/>
    <col min="11529" max="11529" width="9.08984375" style="43"/>
    <col min="11530" max="11530" width="15.08984375" style="43" customWidth="1"/>
    <col min="11531" max="11531" width="13.6328125" style="43" customWidth="1"/>
    <col min="11532" max="11777" width="9.08984375" style="43"/>
    <col min="11778" max="11778" width="23.453125" style="43" customWidth="1"/>
    <col min="11779" max="11779" width="28.36328125" style="43" customWidth="1"/>
    <col min="11780" max="11780" width="20.54296875" style="43" customWidth="1"/>
    <col min="11781" max="11781" width="7.453125" style="43" customWidth="1"/>
    <col min="11782" max="11782" width="17.36328125" style="43" customWidth="1"/>
    <col min="11783" max="11783" width="9.08984375" style="43"/>
    <col min="11784" max="11784" width="23.08984375" style="43" customWidth="1"/>
    <col min="11785" max="11785" width="9.08984375" style="43"/>
    <col min="11786" max="11786" width="15.08984375" style="43" customWidth="1"/>
    <col min="11787" max="11787" width="13.6328125" style="43" customWidth="1"/>
    <col min="11788" max="12033" width="9.08984375" style="43"/>
    <col min="12034" max="12034" width="23.453125" style="43" customWidth="1"/>
    <col min="12035" max="12035" width="28.36328125" style="43" customWidth="1"/>
    <col min="12036" max="12036" width="20.54296875" style="43" customWidth="1"/>
    <col min="12037" max="12037" width="7.453125" style="43" customWidth="1"/>
    <col min="12038" max="12038" width="17.36328125" style="43" customWidth="1"/>
    <col min="12039" max="12039" width="9.08984375" style="43"/>
    <col min="12040" max="12040" width="23.08984375" style="43" customWidth="1"/>
    <col min="12041" max="12041" width="9.08984375" style="43"/>
    <col min="12042" max="12042" width="15.08984375" style="43" customWidth="1"/>
    <col min="12043" max="12043" width="13.6328125" style="43" customWidth="1"/>
    <col min="12044" max="12289" width="9.08984375" style="43"/>
    <col min="12290" max="12290" width="23.453125" style="43" customWidth="1"/>
    <col min="12291" max="12291" width="28.36328125" style="43" customWidth="1"/>
    <col min="12292" max="12292" width="20.54296875" style="43" customWidth="1"/>
    <col min="12293" max="12293" width="7.453125" style="43" customWidth="1"/>
    <col min="12294" max="12294" width="17.36328125" style="43" customWidth="1"/>
    <col min="12295" max="12295" width="9.08984375" style="43"/>
    <col min="12296" max="12296" width="23.08984375" style="43" customWidth="1"/>
    <col min="12297" max="12297" width="9.08984375" style="43"/>
    <col min="12298" max="12298" width="15.08984375" style="43" customWidth="1"/>
    <col min="12299" max="12299" width="13.6328125" style="43" customWidth="1"/>
    <col min="12300" max="12545" width="9.08984375" style="43"/>
    <col min="12546" max="12546" width="23.453125" style="43" customWidth="1"/>
    <col min="12547" max="12547" width="28.36328125" style="43" customWidth="1"/>
    <col min="12548" max="12548" width="20.54296875" style="43" customWidth="1"/>
    <col min="12549" max="12549" width="7.453125" style="43" customWidth="1"/>
    <col min="12550" max="12550" width="17.36328125" style="43" customWidth="1"/>
    <col min="12551" max="12551" width="9.08984375" style="43"/>
    <col min="12552" max="12552" width="23.08984375" style="43" customWidth="1"/>
    <col min="12553" max="12553" width="9.08984375" style="43"/>
    <col min="12554" max="12554" width="15.08984375" style="43" customWidth="1"/>
    <col min="12555" max="12555" width="13.6328125" style="43" customWidth="1"/>
    <col min="12556" max="12801" width="9.08984375" style="43"/>
    <col min="12802" max="12802" width="23.453125" style="43" customWidth="1"/>
    <col min="12803" max="12803" width="28.36328125" style="43" customWidth="1"/>
    <col min="12804" max="12804" width="20.54296875" style="43" customWidth="1"/>
    <col min="12805" max="12805" width="7.453125" style="43" customWidth="1"/>
    <col min="12806" max="12806" width="17.36328125" style="43" customWidth="1"/>
    <col min="12807" max="12807" width="9.08984375" style="43"/>
    <col min="12808" max="12808" width="23.08984375" style="43" customWidth="1"/>
    <col min="12809" max="12809" width="9.08984375" style="43"/>
    <col min="12810" max="12810" width="15.08984375" style="43" customWidth="1"/>
    <col min="12811" max="12811" width="13.6328125" style="43" customWidth="1"/>
    <col min="12812" max="13057" width="9.08984375" style="43"/>
    <col min="13058" max="13058" width="23.453125" style="43" customWidth="1"/>
    <col min="13059" max="13059" width="28.36328125" style="43" customWidth="1"/>
    <col min="13060" max="13060" width="20.54296875" style="43" customWidth="1"/>
    <col min="13061" max="13061" width="7.453125" style="43" customWidth="1"/>
    <col min="13062" max="13062" width="17.36328125" style="43" customWidth="1"/>
    <col min="13063" max="13063" width="9.08984375" style="43"/>
    <col min="13064" max="13064" width="23.08984375" style="43" customWidth="1"/>
    <col min="13065" max="13065" width="9.08984375" style="43"/>
    <col min="13066" max="13066" width="15.08984375" style="43" customWidth="1"/>
    <col min="13067" max="13067" width="13.6328125" style="43" customWidth="1"/>
    <col min="13068" max="13313" width="9.08984375" style="43"/>
    <col min="13314" max="13314" width="23.453125" style="43" customWidth="1"/>
    <col min="13315" max="13315" width="28.36328125" style="43" customWidth="1"/>
    <col min="13316" max="13316" width="20.54296875" style="43" customWidth="1"/>
    <col min="13317" max="13317" width="7.453125" style="43" customWidth="1"/>
    <col min="13318" max="13318" width="17.36328125" style="43" customWidth="1"/>
    <col min="13319" max="13319" width="9.08984375" style="43"/>
    <col min="13320" max="13320" width="23.08984375" style="43" customWidth="1"/>
    <col min="13321" max="13321" width="9.08984375" style="43"/>
    <col min="13322" max="13322" width="15.08984375" style="43" customWidth="1"/>
    <col min="13323" max="13323" width="13.6328125" style="43" customWidth="1"/>
    <col min="13324" max="13569" width="9.08984375" style="43"/>
    <col min="13570" max="13570" width="23.453125" style="43" customWidth="1"/>
    <col min="13571" max="13571" width="28.36328125" style="43" customWidth="1"/>
    <col min="13572" max="13572" width="20.54296875" style="43" customWidth="1"/>
    <col min="13573" max="13573" width="7.453125" style="43" customWidth="1"/>
    <col min="13574" max="13574" width="17.36328125" style="43" customWidth="1"/>
    <col min="13575" max="13575" width="9.08984375" style="43"/>
    <col min="13576" max="13576" width="23.08984375" style="43" customWidth="1"/>
    <col min="13577" max="13577" width="9.08984375" style="43"/>
    <col min="13578" max="13578" width="15.08984375" style="43" customWidth="1"/>
    <col min="13579" max="13579" width="13.6328125" style="43" customWidth="1"/>
    <col min="13580" max="13825" width="9.08984375" style="43"/>
    <col min="13826" max="13826" width="23.453125" style="43" customWidth="1"/>
    <col min="13827" max="13827" width="28.36328125" style="43" customWidth="1"/>
    <col min="13828" max="13828" width="20.54296875" style="43" customWidth="1"/>
    <col min="13829" max="13829" width="7.453125" style="43" customWidth="1"/>
    <col min="13830" max="13830" width="17.36328125" style="43" customWidth="1"/>
    <col min="13831" max="13831" width="9.08984375" style="43"/>
    <col min="13832" max="13832" width="23.08984375" style="43" customWidth="1"/>
    <col min="13833" max="13833" width="9.08984375" style="43"/>
    <col min="13834" max="13834" width="15.08984375" style="43" customWidth="1"/>
    <col min="13835" max="13835" width="13.6328125" style="43" customWidth="1"/>
    <col min="13836" max="14081" width="9.08984375" style="43"/>
    <col min="14082" max="14082" width="23.453125" style="43" customWidth="1"/>
    <col min="14083" max="14083" width="28.36328125" style="43" customWidth="1"/>
    <col min="14084" max="14084" width="20.54296875" style="43" customWidth="1"/>
    <col min="14085" max="14085" width="7.453125" style="43" customWidth="1"/>
    <col min="14086" max="14086" width="17.36328125" style="43" customWidth="1"/>
    <col min="14087" max="14087" width="9.08984375" style="43"/>
    <col min="14088" max="14088" width="23.08984375" style="43" customWidth="1"/>
    <col min="14089" max="14089" width="9.08984375" style="43"/>
    <col min="14090" max="14090" width="15.08984375" style="43" customWidth="1"/>
    <col min="14091" max="14091" width="13.6328125" style="43" customWidth="1"/>
    <col min="14092" max="14337" width="9.08984375" style="43"/>
    <col min="14338" max="14338" width="23.453125" style="43" customWidth="1"/>
    <col min="14339" max="14339" width="28.36328125" style="43" customWidth="1"/>
    <col min="14340" max="14340" width="20.54296875" style="43" customWidth="1"/>
    <col min="14341" max="14341" width="7.453125" style="43" customWidth="1"/>
    <col min="14342" max="14342" width="17.36328125" style="43" customWidth="1"/>
    <col min="14343" max="14343" width="9.08984375" style="43"/>
    <col min="14344" max="14344" width="23.08984375" style="43" customWidth="1"/>
    <col min="14345" max="14345" width="9.08984375" style="43"/>
    <col min="14346" max="14346" width="15.08984375" style="43" customWidth="1"/>
    <col min="14347" max="14347" width="13.6328125" style="43" customWidth="1"/>
    <col min="14348" max="14593" width="9.08984375" style="43"/>
    <col min="14594" max="14594" width="23.453125" style="43" customWidth="1"/>
    <col min="14595" max="14595" width="28.36328125" style="43" customWidth="1"/>
    <col min="14596" max="14596" width="20.54296875" style="43" customWidth="1"/>
    <col min="14597" max="14597" width="7.453125" style="43" customWidth="1"/>
    <col min="14598" max="14598" width="17.36328125" style="43" customWidth="1"/>
    <col min="14599" max="14599" width="9.08984375" style="43"/>
    <col min="14600" max="14600" width="23.08984375" style="43" customWidth="1"/>
    <col min="14601" max="14601" width="9.08984375" style="43"/>
    <col min="14602" max="14602" width="15.08984375" style="43" customWidth="1"/>
    <col min="14603" max="14603" width="13.6328125" style="43" customWidth="1"/>
    <col min="14604" max="14849" width="9.08984375" style="43"/>
    <col min="14850" max="14850" width="23.453125" style="43" customWidth="1"/>
    <col min="14851" max="14851" width="28.36328125" style="43" customWidth="1"/>
    <col min="14852" max="14852" width="20.54296875" style="43" customWidth="1"/>
    <col min="14853" max="14853" width="7.453125" style="43" customWidth="1"/>
    <col min="14854" max="14854" width="17.36328125" style="43" customWidth="1"/>
    <col min="14855" max="14855" width="9.08984375" style="43"/>
    <col min="14856" max="14856" width="23.08984375" style="43" customWidth="1"/>
    <col min="14857" max="14857" width="9.08984375" style="43"/>
    <col min="14858" max="14858" width="15.08984375" style="43" customWidth="1"/>
    <col min="14859" max="14859" width="13.6328125" style="43" customWidth="1"/>
    <col min="14860" max="15105" width="9.08984375" style="43"/>
    <col min="15106" max="15106" width="23.453125" style="43" customWidth="1"/>
    <col min="15107" max="15107" width="28.36328125" style="43" customWidth="1"/>
    <col min="15108" max="15108" width="20.54296875" style="43" customWidth="1"/>
    <col min="15109" max="15109" width="7.453125" style="43" customWidth="1"/>
    <col min="15110" max="15110" width="17.36328125" style="43" customWidth="1"/>
    <col min="15111" max="15111" width="9.08984375" style="43"/>
    <col min="15112" max="15112" width="23.08984375" style="43" customWidth="1"/>
    <col min="15113" max="15113" width="9.08984375" style="43"/>
    <col min="15114" max="15114" width="15.08984375" style="43" customWidth="1"/>
    <col min="15115" max="15115" width="13.6328125" style="43" customWidth="1"/>
    <col min="15116" max="15361" width="9.08984375" style="43"/>
    <col min="15362" max="15362" width="23.453125" style="43" customWidth="1"/>
    <col min="15363" max="15363" width="28.36328125" style="43" customWidth="1"/>
    <col min="15364" max="15364" width="20.54296875" style="43" customWidth="1"/>
    <col min="15365" max="15365" width="7.453125" style="43" customWidth="1"/>
    <col min="15366" max="15366" width="17.36328125" style="43" customWidth="1"/>
    <col min="15367" max="15367" width="9.08984375" style="43"/>
    <col min="15368" max="15368" width="23.08984375" style="43" customWidth="1"/>
    <col min="15369" max="15369" width="9.08984375" style="43"/>
    <col min="15370" max="15370" width="15.08984375" style="43" customWidth="1"/>
    <col min="15371" max="15371" width="13.6328125" style="43" customWidth="1"/>
    <col min="15372" max="15617" width="9.08984375" style="43"/>
    <col min="15618" max="15618" width="23.453125" style="43" customWidth="1"/>
    <col min="15619" max="15619" width="28.36328125" style="43" customWidth="1"/>
    <col min="15620" max="15620" width="20.54296875" style="43" customWidth="1"/>
    <col min="15621" max="15621" width="7.453125" style="43" customWidth="1"/>
    <col min="15622" max="15622" width="17.36328125" style="43" customWidth="1"/>
    <col min="15623" max="15623" width="9.08984375" style="43"/>
    <col min="15624" max="15624" width="23.08984375" style="43" customWidth="1"/>
    <col min="15625" max="15625" width="9.08984375" style="43"/>
    <col min="15626" max="15626" width="15.08984375" style="43" customWidth="1"/>
    <col min="15627" max="15627" width="13.6328125" style="43" customWidth="1"/>
    <col min="15628" max="15873" width="9.08984375" style="43"/>
    <col min="15874" max="15874" width="23.453125" style="43" customWidth="1"/>
    <col min="15875" max="15875" width="28.36328125" style="43" customWidth="1"/>
    <col min="15876" max="15876" width="20.54296875" style="43" customWidth="1"/>
    <col min="15877" max="15877" width="7.453125" style="43" customWidth="1"/>
    <col min="15878" max="15878" width="17.36328125" style="43" customWidth="1"/>
    <col min="15879" max="15879" width="9.08984375" style="43"/>
    <col min="15880" max="15880" width="23.08984375" style="43" customWidth="1"/>
    <col min="15881" max="15881" width="9.08984375" style="43"/>
    <col min="15882" max="15882" width="15.08984375" style="43" customWidth="1"/>
    <col min="15883" max="15883" width="13.6328125" style="43" customWidth="1"/>
    <col min="15884" max="16129" width="9.08984375" style="43"/>
    <col min="16130" max="16130" width="23.453125" style="43" customWidth="1"/>
    <col min="16131" max="16131" width="28.36328125" style="43" customWidth="1"/>
    <col min="16132" max="16132" width="20.54296875" style="43" customWidth="1"/>
    <col min="16133" max="16133" width="7.453125" style="43" customWidth="1"/>
    <col min="16134" max="16134" width="17.36328125" style="43" customWidth="1"/>
    <col min="16135" max="16135" width="9.08984375" style="43"/>
    <col min="16136" max="16136" width="23.08984375" style="43" customWidth="1"/>
    <col min="16137" max="16137" width="9.08984375" style="43"/>
    <col min="16138" max="16138" width="15.08984375" style="43" customWidth="1"/>
    <col min="16139" max="16139" width="13.6328125" style="43" customWidth="1"/>
    <col min="16140" max="16384" width="9.08984375" style="43"/>
  </cols>
  <sheetData>
    <row r="1" spans="2:11" ht="12.75" customHeight="1" thickBot="1" x14ac:dyDescent="0.4">
      <c r="C1" s="44"/>
      <c r="D1" s="44"/>
    </row>
    <row r="2" spans="2:11" ht="20.25" customHeight="1" x14ac:dyDescent="0.35">
      <c r="B2" s="94"/>
      <c r="C2" s="97" t="s">
        <v>19</v>
      </c>
      <c r="D2" s="97"/>
      <c r="E2" s="97"/>
      <c r="F2" s="100" t="s">
        <v>20</v>
      </c>
    </row>
    <row r="3" spans="2:11" ht="30.75" customHeight="1" x14ac:dyDescent="0.35">
      <c r="B3" s="95"/>
      <c r="C3" s="98"/>
      <c r="D3" s="98"/>
      <c r="E3" s="98"/>
      <c r="F3" s="101"/>
    </row>
    <row r="4" spans="2:11" ht="11.25" customHeight="1" thickBot="1" x14ac:dyDescent="0.4">
      <c r="B4" s="96"/>
      <c r="C4" s="99"/>
      <c r="D4" s="99"/>
      <c r="E4" s="99"/>
      <c r="F4" s="102"/>
    </row>
    <row r="5" spans="2:11" s="45" customFormat="1" ht="11.25" customHeight="1" x14ac:dyDescent="0.35">
      <c r="B5" s="46"/>
      <c r="C5" s="47"/>
      <c r="D5" s="47"/>
      <c r="E5" s="47"/>
      <c r="F5" s="48"/>
    </row>
    <row r="6" spans="2:11" ht="16" thickBot="1" x14ac:dyDescent="0.4"/>
    <row r="7" spans="2:11" ht="20.5" thickBot="1" x14ac:dyDescent="0.45">
      <c r="B7" s="78" t="s">
        <v>21</v>
      </c>
      <c r="C7" s="79"/>
    </row>
    <row r="8" spans="2:11" ht="16" outlineLevel="1" thickBot="1" x14ac:dyDescent="0.4"/>
    <row r="9" spans="2:11" outlineLevel="1" x14ac:dyDescent="0.35">
      <c r="B9" s="80" t="s">
        <v>22</v>
      </c>
      <c r="C9" s="81"/>
      <c r="D9" s="81"/>
      <c r="E9" s="82"/>
    </row>
    <row r="10" spans="2:11" outlineLevel="1" x14ac:dyDescent="0.35">
      <c r="B10" s="83" t="s">
        <v>23</v>
      </c>
      <c r="C10" s="72"/>
      <c r="D10" s="72"/>
      <c r="E10" s="84"/>
    </row>
    <row r="11" spans="2:11" outlineLevel="1" x14ac:dyDescent="0.35">
      <c r="B11" s="49" t="s">
        <v>24</v>
      </c>
      <c r="C11" s="85" t="s">
        <v>25</v>
      </c>
      <c r="D11" s="86"/>
      <c r="E11" s="87"/>
    </row>
    <row r="12" spans="2:11" ht="16" outlineLevel="1" thickBot="1" x14ac:dyDescent="0.4">
      <c r="B12" s="50" t="s">
        <v>26</v>
      </c>
      <c r="C12" s="88">
        <v>1.1000000000000001</v>
      </c>
      <c r="D12" s="89"/>
      <c r="E12" s="90"/>
    </row>
    <row r="13" spans="2:11" ht="16" outlineLevel="1" thickBot="1" x14ac:dyDescent="0.4"/>
    <row r="14" spans="2:11" ht="18.5" outlineLevel="1" thickBot="1" x14ac:dyDescent="0.45">
      <c r="B14" s="51" t="s">
        <v>27</v>
      </c>
    </row>
    <row r="15" spans="2:11" outlineLevel="1" x14ac:dyDescent="0.35">
      <c r="B15" s="52" t="s">
        <v>15</v>
      </c>
      <c r="C15" s="52" t="s">
        <v>16</v>
      </c>
      <c r="D15" s="74" t="s">
        <v>28</v>
      </c>
      <c r="E15" s="74"/>
      <c r="F15" s="74" t="s">
        <v>29</v>
      </c>
      <c r="G15" s="74"/>
      <c r="H15" s="74"/>
      <c r="I15" s="75" t="s">
        <v>30</v>
      </c>
      <c r="J15" s="76"/>
      <c r="K15" s="77"/>
    </row>
    <row r="16" spans="2:11" outlineLevel="1" x14ac:dyDescent="0.35">
      <c r="B16" s="53">
        <v>1</v>
      </c>
      <c r="C16" s="54">
        <v>44229</v>
      </c>
      <c r="D16" s="91" t="s">
        <v>31</v>
      </c>
      <c r="E16" s="92"/>
      <c r="F16" s="91" t="s">
        <v>32</v>
      </c>
      <c r="G16" s="93"/>
      <c r="H16" s="92"/>
      <c r="I16" s="91"/>
      <c r="J16" s="93"/>
      <c r="K16" s="92"/>
    </row>
    <row r="17" spans="2:11" outlineLevel="1" x14ac:dyDescent="0.35">
      <c r="B17" s="53">
        <v>2</v>
      </c>
      <c r="C17" s="54">
        <v>44229</v>
      </c>
      <c r="D17" s="91" t="s">
        <v>33</v>
      </c>
      <c r="E17" s="92"/>
      <c r="F17" s="91" t="s">
        <v>34</v>
      </c>
      <c r="G17" s="93"/>
      <c r="H17" s="92"/>
      <c r="I17" s="91"/>
      <c r="J17" s="93"/>
      <c r="K17" s="92"/>
    </row>
    <row r="18" spans="2:11" s="55" customFormat="1" ht="16" outlineLevel="1" thickBot="1" x14ac:dyDescent="0.4"/>
    <row r="19" spans="2:11" ht="18.5" outlineLevel="1" thickBot="1" x14ac:dyDescent="0.45">
      <c r="B19" s="51" t="s">
        <v>35</v>
      </c>
    </row>
    <row r="20" spans="2:11" outlineLevel="1" x14ac:dyDescent="0.35">
      <c r="B20" s="52" t="s">
        <v>15</v>
      </c>
      <c r="C20" s="52" t="s">
        <v>36</v>
      </c>
      <c r="D20" s="74" t="s">
        <v>37</v>
      </c>
      <c r="E20" s="74"/>
      <c r="F20" s="75" t="s">
        <v>38</v>
      </c>
      <c r="G20" s="76"/>
      <c r="H20" s="77"/>
      <c r="I20" s="75" t="s">
        <v>16</v>
      </c>
      <c r="J20" s="76"/>
      <c r="K20" s="77"/>
    </row>
    <row r="21" spans="2:11" outlineLevel="1" x14ac:dyDescent="0.35">
      <c r="B21" s="56" t="s">
        <v>39</v>
      </c>
      <c r="C21" s="57" t="s">
        <v>31</v>
      </c>
      <c r="D21" s="70" t="s">
        <v>40</v>
      </c>
      <c r="E21" s="70"/>
      <c r="F21" s="70" t="s">
        <v>41</v>
      </c>
      <c r="G21" s="70"/>
      <c r="H21" s="70"/>
      <c r="I21" s="71">
        <v>44229</v>
      </c>
      <c r="J21" s="72"/>
      <c r="K21" s="73"/>
    </row>
    <row r="22" spans="2:11" outlineLevel="1" x14ac:dyDescent="0.35">
      <c r="B22" s="56" t="s">
        <v>42</v>
      </c>
      <c r="C22" s="57" t="s">
        <v>33</v>
      </c>
      <c r="D22" s="70" t="s">
        <v>43</v>
      </c>
      <c r="E22" s="70"/>
      <c r="F22" s="70" t="s">
        <v>44</v>
      </c>
      <c r="G22" s="70"/>
      <c r="H22" s="70"/>
      <c r="I22" s="71">
        <v>44229</v>
      </c>
      <c r="J22" s="72"/>
      <c r="K22" s="73"/>
    </row>
    <row r="23" spans="2:11" s="55" customFormat="1" x14ac:dyDescent="0.35"/>
    <row r="24" spans="2:11" s="55" customFormat="1" x14ac:dyDescent="0.35"/>
    <row r="25" spans="2:11" s="55" customFormat="1" ht="16" thickBot="1" x14ac:dyDescent="0.4"/>
    <row r="26" spans="2:11" ht="20.5" thickBot="1" x14ac:dyDescent="0.45">
      <c r="B26" s="78" t="s">
        <v>45</v>
      </c>
      <c r="C26" s="79"/>
    </row>
    <row r="27" spans="2:11" ht="16" thickBot="1" x14ac:dyDescent="0.4"/>
    <row r="28" spans="2:11" outlineLevel="1" x14ac:dyDescent="0.35">
      <c r="B28" s="80" t="s">
        <v>22</v>
      </c>
      <c r="C28" s="81"/>
      <c r="D28" s="81"/>
      <c r="E28" s="82"/>
    </row>
    <row r="29" spans="2:11" outlineLevel="1" x14ac:dyDescent="0.35">
      <c r="B29" s="83" t="s">
        <v>46</v>
      </c>
      <c r="C29" s="72"/>
      <c r="D29" s="72"/>
      <c r="E29" s="84"/>
    </row>
    <row r="30" spans="2:11" outlineLevel="1" x14ac:dyDescent="0.35">
      <c r="B30" s="49" t="s">
        <v>24</v>
      </c>
      <c r="C30" s="85"/>
      <c r="D30" s="86"/>
      <c r="E30" s="87"/>
    </row>
    <row r="31" spans="2:11" ht="16" outlineLevel="1" thickBot="1" x14ac:dyDescent="0.4">
      <c r="B31" s="50" t="s">
        <v>26</v>
      </c>
      <c r="C31" s="88"/>
      <c r="D31" s="89"/>
      <c r="E31" s="90"/>
    </row>
    <row r="32" spans="2:11" ht="16" outlineLevel="1" thickBot="1" x14ac:dyDescent="0.4"/>
    <row r="33" spans="2:11" ht="18.5" outlineLevel="1" thickBot="1" x14ac:dyDescent="0.45">
      <c r="B33" s="51" t="s">
        <v>27</v>
      </c>
    </row>
    <row r="34" spans="2:11" outlineLevel="1" x14ac:dyDescent="0.35">
      <c r="B34" s="52" t="s">
        <v>15</v>
      </c>
      <c r="C34" s="52" t="s">
        <v>16</v>
      </c>
      <c r="D34" s="74" t="s">
        <v>28</v>
      </c>
      <c r="E34" s="74"/>
      <c r="F34" s="74" t="s">
        <v>29</v>
      </c>
      <c r="G34" s="74"/>
      <c r="H34" s="74"/>
      <c r="I34" s="75" t="s">
        <v>30</v>
      </c>
      <c r="J34" s="76"/>
      <c r="K34" s="77"/>
    </row>
    <row r="35" spans="2:11" outlineLevel="1" x14ac:dyDescent="0.35">
      <c r="B35" s="53"/>
      <c r="C35" s="54"/>
      <c r="D35" s="91"/>
      <c r="E35" s="92"/>
      <c r="F35" s="91"/>
      <c r="G35" s="93"/>
      <c r="H35" s="92"/>
      <c r="I35" s="91"/>
      <c r="J35" s="93"/>
      <c r="K35" s="92"/>
    </row>
    <row r="36" spans="2:11" ht="16" thickBot="1" x14ac:dyDescent="0.4"/>
    <row r="37" spans="2:11" ht="18.5" outlineLevel="1" thickBot="1" x14ac:dyDescent="0.45">
      <c r="B37" s="51" t="s">
        <v>35</v>
      </c>
    </row>
    <row r="38" spans="2:11" outlineLevel="1" x14ac:dyDescent="0.35">
      <c r="B38" s="52" t="s">
        <v>15</v>
      </c>
      <c r="C38" s="52" t="s">
        <v>36</v>
      </c>
      <c r="D38" s="74" t="s">
        <v>37</v>
      </c>
      <c r="E38" s="74"/>
      <c r="F38" s="75" t="s">
        <v>38</v>
      </c>
      <c r="G38" s="76"/>
      <c r="H38" s="77"/>
      <c r="I38" s="75" t="s">
        <v>16</v>
      </c>
      <c r="J38" s="76"/>
      <c r="K38" s="77"/>
    </row>
    <row r="39" spans="2:11" outlineLevel="1" x14ac:dyDescent="0.35">
      <c r="B39" s="56" t="s">
        <v>39</v>
      </c>
      <c r="C39" s="57"/>
      <c r="D39" s="70"/>
      <c r="E39" s="70"/>
      <c r="F39" s="70"/>
      <c r="G39" s="70"/>
      <c r="H39" s="70"/>
      <c r="I39" s="71"/>
      <c r="J39" s="72"/>
      <c r="K39" s="73"/>
    </row>
    <row r="40" spans="2:11" outlineLevel="1" x14ac:dyDescent="0.35">
      <c r="B40" s="56" t="s">
        <v>42</v>
      </c>
      <c r="C40" s="57"/>
      <c r="D40" s="70"/>
      <c r="E40" s="70"/>
      <c r="F40" s="70"/>
      <c r="G40" s="70"/>
      <c r="H40" s="70"/>
      <c r="I40" s="71"/>
      <c r="J40" s="72"/>
      <c r="K40" s="73"/>
    </row>
  </sheetData>
  <mergeCells count="46">
    <mergeCell ref="D16:E16"/>
    <mergeCell ref="F16:H16"/>
    <mergeCell ref="I16:K16"/>
    <mergeCell ref="B2:B4"/>
    <mergeCell ref="C2:E4"/>
    <mergeCell ref="F2:F4"/>
    <mergeCell ref="B7:C7"/>
    <mergeCell ref="B9:E9"/>
    <mergeCell ref="B10:E10"/>
    <mergeCell ref="C11:E11"/>
    <mergeCell ref="C12:E12"/>
    <mergeCell ref="D15:E15"/>
    <mergeCell ref="F15:H15"/>
    <mergeCell ref="I15:K15"/>
    <mergeCell ref="D17:E17"/>
    <mergeCell ref="F17:H17"/>
    <mergeCell ref="I17:K17"/>
    <mergeCell ref="D20:E20"/>
    <mergeCell ref="F20:H20"/>
    <mergeCell ref="I20:K20"/>
    <mergeCell ref="D21:E21"/>
    <mergeCell ref="F21:H21"/>
    <mergeCell ref="I21:K21"/>
    <mergeCell ref="D22:E22"/>
    <mergeCell ref="F22:H22"/>
    <mergeCell ref="I22:K22"/>
    <mergeCell ref="D38:E38"/>
    <mergeCell ref="F38:H38"/>
    <mergeCell ref="I38:K38"/>
    <mergeCell ref="B26:C26"/>
    <mergeCell ref="B28:E28"/>
    <mergeCell ref="B29:E29"/>
    <mergeCell ref="C30:E30"/>
    <mergeCell ref="C31:E31"/>
    <mergeCell ref="D34:E34"/>
    <mergeCell ref="F34:H34"/>
    <mergeCell ref="I34:K34"/>
    <mergeCell ref="D35:E35"/>
    <mergeCell ref="F35:H35"/>
    <mergeCell ref="I35:K35"/>
    <mergeCell ref="D39:E39"/>
    <mergeCell ref="F39:H39"/>
    <mergeCell ref="I39:K39"/>
    <mergeCell ref="D40:E40"/>
    <mergeCell ref="F40:H40"/>
    <mergeCell ref="I40:K40"/>
  </mergeCells>
  <pageMargins left="0.7" right="0.7" top="0.75" bottom="0.75" header="0.3" footer="0.3"/>
  <pageSetup orientation="portrait" horizontalDpi="90" verticalDpi="9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tabColor theme="2" tint="-0.24997711111789"/>
  </sheetPr>
  <dimension ref="A1:D19"/>
  <sheetViews>
    <sheetView showRowColHeaders="false" topLeftCell="A3" zoomScale="190" zoomScaleNormal="190" workbookViewId="0">
      <selection activeCell="C16" sqref="C16"/>
    </sheetView>
  </sheetViews>
  <sheetFormatPr xmlns:x14ac="http://schemas.microsoft.com/office/spreadsheetml/2009/9/ac" defaultColWidth="11.54296875" defaultRowHeight="14.5" x14ac:dyDescent="0.35"/>
  <cols>
    <col min="1" max="1" width="1.37890625" style="18" customWidth="true"/>
    <col min="2" max="2" width="18.453125" style="18" customWidth="true"/>
    <col min="3" max="3" width="18" style="18" customWidth="true"/>
    <col min="4" max="4" width="18.453125" style="18" customWidth="true"/>
    <col min="5" max="16384" width="11.54296875" style="18"/>
  </cols>
  <sheetData>
    <row xmlns:x14ac="http://schemas.microsoft.com/office/spreadsheetml/2009/9/ac" r="1" ht="7.25" customHeight="true" thickBot="true" x14ac:dyDescent="0.4">
      <c r="A1" s="18" t="s">
        <v>882</v>
      </c>
    </row>
    <row xmlns:x14ac="http://schemas.microsoft.com/office/spreadsheetml/2009/9/ac" r="2" ht="19" thickBot="true" x14ac:dyDescent="0.5">
      <c r="B2" s="113" t="s">
        <v>4</v>
      </c>
      <c r="C2" s="114"/>
      <c r="D2" s="115"/>
    </row>
    <row xmlns:x14ac="http://schemas.microsoft.com/office/spreadsheetml/2009/9/ac" r="3" x14ac:dyDescent="0.35">
      <c r="B3" s="19" t="s">
        <v>3</v>
      </c>
      <c r="C3" s="116" t="s">
        <v>52</v>
      </c>
      <c r="D3" s="117"/>
    </row>
    <row xmlns:x14ac="http://schemas.microsoft.com/office/spreadsheetml/2009/9/ac" r="4" x14ac:dyDescent="0.35">
      <c r="B4" s="20" t="s">
        <v>0</v>
      </c>
      <c r="C4" s="118" t="s">
        <v>53</v>
      </c>
      <c r="D4" s="119"/>
    </row>
    <row xmlns:x14ac="http://schemas.microsoft.com/office/spreadsheetml/2009/9/ac" r="5" x14ac:dyDescent="0.35">
      <c r="B5" s="20" t="s">
        <v>1</v>
      </c>
      <c r="C5" s="118" t="s">
        <v>53</v>
      </c>
      <c r="D5" s="119"/>
    </row>
    <row xmlns:x14ac="http://schemas.microsoft.com/office/spreadsheetml/2009/9/ac" r="6" x14ac:dyDescent="0.35">
      <c r="B6" s="20" t="s">
        <v>10</v>
      </c>
      <c r="C6" s="103" t="s">
        <v>54</v>
      </c>
      <c r="D6" s="104"/>
    </row>
    <row xmlns:x14ac="http://schemas.microsoft.com/office/spreadsheetml/2009/9/ac" r="7" x14ac:dyDescent="0.35">
      <c r="B7" s="20" t="s">
        <v>7</v>
      </c>
      <c r="C7" s="103" t="s">
        <v>879</v>
      </c>
      <c r="D7" s="104"/>
    </row>
    <row xmlns:x14ac="http://schemas.microsoft.com/office/spreadsheetml/2009/9/ac" r="8" ht="15" thickBot="true" x14ac:dyDescent="0.4">
      <c r="B8" s="21" t="s">
        <v>9</v>
      </c>
      <c r="C8" s="105" t="s">
        <v>880</v>
      </c>
      <c r="D8" s="106"/>
    </row>
    <row xmlns:x14ac="http://schemas.microsoft.com/office/spreadsheetml/2009/9/ac" r="9" ht="15" thickBot="true" x14ac:dyDescent="0.4"/>
    <row xmlns:x14ac="http://schemas.microsoft.com/office/spreadsheetml/2009/9/ac" r="10" ht="18.5" x14ac:dyDescent="0.45">
      <c r="B10" s="107" t="s">
        <v>14</v>
      </c>
      <c r="C10" s="108"/>
      <c r="D10" s="109"/>
    </row>
    <row xmlns:x14ac="http://schemas.microsoft.com/office/spreadsheetml/2009/9/ac" r="11" ht="15" thickBot="true" x14ac:dyDescent="0.4">
      <c r="B11" s="110" t="str">
        <f>IF(C3 = "Multiple","Overall Result","Last Run")</f>
        <v>Last Run</v>
      </c>
      <c r="C11" s="111"/>
      <c r="D11" s="112"/>
    </row>
    <row xmlns:x14ac="http://schemas.microsoft.com/office/spreadsheetml/2009/9/ac" r="12" x14ac:dyDescent="0.35">
      <c r="B12" s="22" t="s">
        <v>47</v>
      </c>
      <c r="C12" s="13">
        <f ca="true">IF($C$3="Multiple",SUM(ModelAdvisorResults!5:5),INDIRECT(ADDRESS(5,(C7+5),,,"ModelAdvisorResults")))</f>
        <v>0</v>
      </c>
      <c r="D12" s="39" t="str">
        <f ca="true">IF(C19&lt;&gt;0,C12/$C$19,"NA")</f>
        <v>NA</v>
      </c>
    </row>
    <row xmlns:x14ac="http://schemas.microsoft.com/office/spreadsheetml/2009/9/ac" r="13" x14ac:dyDescent="0.35">
      <c r="B13" s="23" t="s">
        <v>11</v>
      </c>
      <c r="C13" s="14">
        <f ca="true">IF($C$3="Multiple",SUM(ModelAdvisorResults!6:6),INDIRECT(ADDRESS(6,(C7+5),,,"ModelAdvisorResults")))</f>
        <v>0</v>
      </c>
      <c r="D13" s="40" t="str">
        <f ca="true">IF(C19&lt;&gt;0,C13/$C$19,"NA")</f>
        <v>NA</v>
      </c>
    </row>
    <row xmlns:x14ac="http://schemas.microsoft.com/office/spreadsheetml/2009/9/ac" r="14" x14ac:dyDescent="0.35">
      <c r="B14" s="64" t="s">
        <v>48</v>
      </c>
      <c r="C14" s="65">
        <f ca="true">IF($C$3="Multiple",SUM(ModelAdvisorResults!7:7),INDIRECT(ADDRESS(7,(C7+5),,,"ModelAdvisorResults")))</f>
        <v>0</v>
      </c>
      <c r="D14" s="66" t="str">
        <f ca="true">IF(C19&lt;&gt;0,C14/$C$19,"NA")</f>
        <v>NA</v>
      </c>
    </row>
    <row xmlns:x14ac="http://schemas.microsoft.com/office/spreadsheetml/2009/9/ac" r="15" x14ac:dyDescent="0.35">
      <c r="B15" s="24" t="s">
        <v>12</v>
      </c>
      <c r="C15" s="15">
        <f ca="true">IF($C$3="Multiple",SUM(ModelAdvisorResults!8:8),INDIRECT(ADDRESS(8,(C7+5),,,"ModelAdvisorResults")))</f>
        <v>0</v>
      </c>
      <c r="D15" s="41" t="str">
        <f ca="true">IF(C19&lt;&gt;0,C15/$C$19,"NA")</f>
        <v>NA</v>
      </c>
    </row>
    <row xmlns:x14ac="http://schemas.microsoft.com/office/spreadsheetml/2009/9/ac" r="16" x14ac:dyDescent="0.35">
      <c r="B16" s="61" t="s">
        <v>49</v>
      </c>
      <c r="C16" s="62">
        <f ca="true">IF($C$3="Multiple",SUM(ModelAdvisorResults!9:9),INDIRECT(ADDRESS(9,(C7+5),,,"ModelAdvisorResults")))</f>
        <v>0</v>
      </c>
      <c r="D16" s="63" t="str">
        <f ca="true">IF(C19&lt;&gt;0,C16/$C$19,"NA")</f>
        <v>NA</v>
      </c>
    </row>
    <row xmlns:x14ac="http://schemas.microsoft.com/office/spreadsheetml/2009/9/ac" r="17" x14ac:dyDescent="0.35">
      <c r="B17" s="58" t="s">
        <v>50</v>
      </c>
      <c r="C17" s="59">
        <f ca="true">IF($C$3="Multiple",SUM(ModelAdvisorResults!10:10),INDIRECT(ADDRESS(10,(C7+5),,,"ModelAdvisorResults")))</f>
        <v>0</v>
      </c>
      <c r="D17" s="60" t="str">
        <f ca="true">IF(C19&lt;&gt;0,C17/$C$19,"NA")</f>
        <v>NA</v>
      </c>
    </row>
    <row xmlns:x14ac="http://schemas.microsoft.com/office/spreadsheetml/2009/9/ac" r="18" x14ac:dyDescent="0.35">
      <c r="B18" s="67" t="s">
        <v>51</v>
      </c>
      <c r="C18" s="68">
        <f ca="true">IF($C$3="Multiple",SUM(ModelAdvisorResults!11:11),INDIRECT(ADDRESS(11,(C7+5),,,"ModelAdvisorResults")))</f>
        <v>0</v>
      </c>
      <c r="D18" s="69" t="str">
        <f ca="true">IF(C19&lt;&gt;0,C18/$C$19,"NA")</f>
        <v>NA</v>
      </c>
    </row>
    <row xmlns:x14ac="http://schemas.microsoft.com/office/spreadsheetml/2009/9/ac" r="19" ht="15" thickBot="true" x14ac:dyDescent="0.4">
      <c r="B19" s="25" t="s">
        <v>13</v>
      </c>
      <c r="C19" s="16">
        <f ca="true">SUM(C12:C18)</f>
        <v>0</v>
      </c>
      <c r="D19" s="42">
        <f ca="true">SUM(D12:D18)</f>
        <v>0</v>
      </c>
    </row>
  </sheetData>
  <mergeCells count="3">
    <mergeCell ref="B10:D10"/>
    <mergeCell ref="B11:D11"/>
    <mergeCell ref="B2:D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tabColor rgb="FF00B0F0"/>
  </sheetPr>
  <dimension ref="A1:ZZ919"/>
  <sheetViews>
    <sheetView tabSelected="true" topLeftCell="C8" zoomScale="70" zoomScaleNormal="70" workbookViewId="0">
      <selection activeCell="F23" sqref="F23"/>
    </sheetView>
  </sheetViews>
  <sheetFormatPr xmlns:x14ac="http://schemas.microsoft.com/office/spreadsheetml/2009/9/ac" defaultColWidth="11.54296875" defaultRowHeight="14.5" outlineLevelCol="1" x14ac:dyDescent="0.35"/>
  <cols>
    <col min="1" max="1" width="1.37890625" style="1" customWidth="true"/>
    <col min="2" max="2" width="54.5546875" style="1" hidden="true" customWidth="true" outlineLevel="1"/>
    <col min="3" max="3" width="105" style="1" customWidth="true" collapsed="true"/>
    <col min="4" max="4" width="14.33203125" style="1" customWidth="true"/>
    <col min="703" max="16384" width="11.54296875" style="1"/>
    <col min="8" max="8" width="11" style="1" customWidth="true"/>
    <col min="9" max="702" width="16.6328125" style="1" customWidth="true"/>
    <col min="7" max="7" width="94.6640625" style="1" customWidth="true"/>
    <col min="5" max="5" width="14.33203125" style="1" customWidth="true"/>
    <col min="6" max="6" width="18" style="1" customWidth="true"/>
  </cols>
  <sheetData>
    <row xmlns:x14ac="http://schemas.microsoft.com/office/spreadsheetml/2009/9/ac" r="1" s="12" customFormat="true" x14ac:dyDescent="0.35">
      <c r="A1" s="12" t="s">
        <v>881</v>
      </c>
      <c r="F1" s="12" t="s">
        <v>879</v>
      </c>
    </row>
    <row xmlns:x14ac="http://schemas.microsoft.com/office/spreadsheetml/2009/9/ac" r="2" s="4" customFormat="true" x14ac:dyDescent="0.35">
      <c r="B2" s="2"/>
      <c r="C2" s="2"/>
      <c r="D2" s="2"/>
      <c r="E2" s="2" t="s">
        <v>861</v>
      </c>
      <c r="F2" s="2" t="s">
        <v>52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</row>
    <row xmlns:x14ac="http://schemas.microsoft.com/office/spreadsheetml/2009/9/ac" r="3" s="11" customFormat="true" x14ac:dyDescent="0.35">
      <c r="B3" s="10"/>
      <c r="C3" s="11"/>
      <c r="D3" s="11"/>
      <c r="E3" s="11" t="s">
        <v>862</v>
      </c>
      <c r="F3" s="11" t="s">
        <v>876</v>
      </c>
      <c r="H3" s="11"/>
    </row>
    <row xmlns:x14ac="http://schemas.microsoft.com/office/spreadsheetml/2009/9/ac" r="4" s="8" customFormat="true" x14ac:dyDescent="0.35">
      <c r="B4" s="4"/>
      <c r="C4" s="9"/>
      <c r="D4" s="9"/>
      <c r="E4" s="9" t="s">
        <v>863</v>
      </c>
      <c r="F4" s="9" t="s">
        <v>53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  <c r="SW4" s="9"/>
      <c r="SX4" s="9"/>
      <c r="SY4" s="9"/>
      <c r="SZ4" s="9"/>
      <c r="TA4" s="9"/>
      <c r="TB4" s="9"/>
      <c r="TC4" s="9"/>
      <c r="TD4" s="9"/>
      <c r="TE4" s="9"/>
      <c r="TF4" s="9"/>
      <c r="TG4" s="9"/>
      <c r="TH4" s="9"/>
      <c r="TI4" s="9"/>
      <c r="TJ4" s="9"/>
      <c r="TK4" s="9"/>
      <c r="TL4" s="9"/>
      <c r="TM4" s="9"/>
      <c r="TN4" s="9"/>
      <c r="TO4" s="9"/>
      <c r="TP4" s="9"/>
      <c r="TQ4" s="9"/>
      <c r="TR4" s="9"/>
      <c r="TS4" s="9"/>
      <c r="TT4" s="9"/>
      <c r="TU4" s="9"/>
      <c r="TV4" s="9"/>
      <c r="TW4" s="9"/>
      <c r="TX4" s="9"/>
      <c r="TY4" s="9"/>
      <c r="TZ4" s="9"/>
      <c r="UA4" s="9"/>
      <c r="UB4" s="9"/>
      <c r="UC4" s="9"/>
      <c r="UD4" s="9"/>
      <c r="UE4" s="9"/>
      <c r="UF4" s="9"/>
      <c r="UG4" s="9"/>
      <c r="UH4" s="9"/>
      <c r="UI4" s="9"/>
      <c r="UJ4" s="9"/>
      <c r="UK4" s="9"/>
      <c r="UL4" s="9"/>
      <c r="UM4" s="9"/>
      <c r="UN4" s="9"/>
      <c r="UO4" s="9"/>
      <c r="UP4" s="9"/>
      <c r="UQ4" s="9"/>
      <c r="UR4" s="9"/>
      <c r="US4" s="9"/>
      <c r="UT4" s="9"/>
      <c r="UU4" s="9"/>
      <c r="UV4" s="9"/>
      <c r="UW4" s="9"/>
      <c r="UX4" s="9"/>
      <c r="UY4" s="9"/>
      <c r="UZ4" s="9"/>
      <c r="VA4" s="9"/>
      <c r="VB4" s="9"/>
      <c r="VC4" s="9"/>
      <c r="VD4" s="9"/>
      <c r="VE4" s="9"/>
      <c r="VF4" s="9"/>
      <c r="VG4" s="9"/>
      <c r="VH4" s="9"/>
      <c r="VI4" s="9"/>
      <c r="VJ4" s="9"/>
      <c r="VK4" s="9"/>
      <c r="VL4" s="9"/>
      <c r="VM4" s="9"/>
      <c r="VN4" s="9"/>
      <c r="VO4" s="9"/>
      <c r="VP4" s="9"/>
      <c r="VQ4" s="9"/>
      <c r="VR4" s="9"/>
      <c r="VS4" s="9"/>
      <c r="VT4" s="9"/>
      <c r="VU4" s="9"/>
      <c r="VV4" s="9"/>
      <c r="VW4" s="9"/>
      <c r="VX4" s="9"/>
      <c r="VY4" s="9"/>
      <c r="VZ4" s="9"/>
      <c r="WA4" s="9"/>
      <c r="WB4" s="9"/>
      <c r="WC4" s="9"/>
      <c r="WD4" s="9"/>
      <c r="WE4" s="9"/>
      <c r="WF4" s="9"/>
      <c r="WG4" s="9"/>
      <c r="WH4" s="9"/>
      <c r="WI4" s="9"/>
      <c r="WJ4" s="9"/>
      <c r="WK4" s="9"/>
      <c r="WL4" s="9"/>
      <c r="WM4" s="9"/>
      <c r="WN4" s="9"/>
      <c r="WO4" s="9"/>
      <c r="WP4" s="9"/>
      <c r="WQ4" s="9"/>
      <c r="WR4" s="9"/>
      <c r="WS4" s="9"/>
      <c r="WT4" s="9"/>
      <c r="WU4" s="9"/>
      <c r="WV4" s="9"/>
      <c r="WW4" s="9"/>
      <c r="WX4" s="9"/>
      <c r="WY4" s="9"/>
      <c r="WZ4" s="9"/>
      <c r="XA4" s="9"/>
      <c r="XB4" s="9"/>
      <c r="XC4" s="9"/>
      <c r="XD4" s="9"/>
      <c r="XE4" s="9"/>
      <c r="XF4" s="9"/>
      <c r="XG4" s="9"/>
      <c r="XH4" s="9"/>
      <c r="XI4" s="9"/>
      <c r="XJ4" s="9"/>
      <c r="XK4" s="9"/>
      <c r="XL4" s="9"/>
      <c r="XM4" s="9"/>
      <c r="XN4" s="9"/>
      <c r="XO4" s="9"/>
      <c r="XP4" s="9"/>
      <c r="XQ4" s="9"/>
      <c r="XR4" s="9"/>
      <c r="XS4" s="9"/>
      <c r="XT4" s="9"/>
      <c r="XU4" s="9"/>
      <c r="XV4" s="9"/>
      <c r="XW4" s="9"/>
      <c r="XX4" s="9"/>
      <c r="XY4" s="9"/>
      <c r="XZ4" s="9"/>
      <c r="YA4" s="9"/>
      <c r="YB4" s="9"/>
      <c r="YC4" s="9"/>
      <c r="YD4" s="9"/>
      <c r="YE4" s="9"/>
      <c r="YF4" s="9"/>
      <c r="YG4" s="9"/>
      <c r="YH4" s="9"/>
      <c r="YI4" s="9"/>
      <c r="YJ4" s="9"/>
      <c r="YK4" s="9"/>
      <c r="YL4" s="9"/>
      <c r="YM4" s="9"/>
      <c r="YN4" s="9"/>
      <c r="YO4" s="9"/>
      <c r="YP4" s="9"/>
      <c r="YQ4" s="9"/>
      <c r="YR4" s="9"/>
      <c r="YS4" s="9"/>
      <c r="YT4" s="9"/>
      <c r="YU4" s="9"/>
      <c r="YV4" s="9"/>
      <c r="YW4" s="9"/>
      <c r="YX4" s="9"/>
      <c r="YY4" s="9"/>
      <c r="YZ4" s="9"/>
      <c r="ZA4" s="9"/>
      <c r="ZB4" s="9"/>
      <c r="ZC4" s="9"/>
      <c r="ZD4" s="9"/>
      <c r="ZE4" s="9"/>
      <c r="ZF4" s="9"/>
      <c r="ZG4" s="9"/>
      <c r="ZH4" s="9"/>
      <c r="ZI4" s="9"/>
      <c r="ZJ4" s="9"/>
      <c r="ZK4" s="9"/>
      <c r="ZL4" s="9"/>
      <c r="ZM4" s="9"/>
      <c r="ZN4" s="9"/>
      <c r="ZO4" s="9"/>
      <c r="ZP4" s="9"/>
      <c r="ZQ4" s="9"/>
      <c r="ZR4" s="9"/>
      <c r="ZS4" s="9"/>
      <c r="ZT4" s="9"/>
      <c r="ZU4" s="9"/>
      <c r="ZV4" s="9"/>
      <c r="ZW4" s="9"/>
      <c r="ZX4" s="9"/>
      <c r="ZY4" s="9"/>
      <c r="ZZ4" s="9"/>
    </row>
    <row xmlns:x14ac="http://schemas.microsoft.com/office/spreadsheetml/2009/9/ac" r="5" s="8" customFormat="true" x14ac:dyDescent="0.35">
      <c r="B5" s="4"/>
      <c r="C5" s="8"/>
      <c r="D5" s="8"/>
      <c r="E5" s="8" t="s">
        <v>864</v>
      </c>
      <c r="F5" s="8">
        <v>300</v>
      </c>
      <c r="H5" s="8"/>
    </row>
    <row xmlns:x14ac="http://schemas.microsoft.com/office/spreadsheetml/2009/9/ac" r="6" s="8" customFormat="true" x14ac:dyDescent="0.35">
      <c r="B6" s="4"/>
      <c r="C6" s="8"/>
      <c r="D6" s="8"/>
      <c r="E6" s="8" t="s">
        <v>865</v>
      </c>
      <c r="F6" s="8">
        <v>1</v>
      </c>
      <c r="H6" s="8"/>
    </row>
    <row xmlns:x14ac="http://schemas.microsoft.com/office/spreadsheetml/2009/9/ac" r="7" s="8" customFormat="true" x14ac:dyDescent="0.35">
      <c r="B7" s="4"/>
      <c r="C7" s="8"/>
      <c r="D7" s="8"/>
      <c r="E7" s="8" t="s">
        <v>866</v>
      </c>
      <c r="F7" s="8">
        <v>105</v>
      </c>
      <c r="H7" s="8"/>
    </row>
    <row xmlns:x14ac="http://schemas.microsoft.com/office/spreadsheetml/2009/9/ac" r="8" s="8" customFormat="true" x14ac:dyDescent="0.35">
      <c r="B8" s="4"/>
      <c r="C8" s="8"/>
      <c r="D8" s="8"/>
      <c r="E8" s="8" t="s">
        <v>867</v>
      </c>
      <c r="F8" s="8">
        <v>0</v>
      </c>
      <c r="H8" s="8"/>
    </row>
    <row xmlns:x14ac="http://schemas.microsoft.com/office/spreadsheetml/2009/9/ac" r="9" s="8" customFormat="true" x14ac:dyDescent="0.35">
      <c r="B9" s="4"/>
      <c r="C9" s="8"/>
      <c r="D9" s="8"/>
      <c r="E9" s="8" t="s">
        <v>868</v>
      </c>
      <c r="F9" s="8">
        <v>0</v>
      </c>
      <c r="H9" s="8"/>
    </row>
    <row xmlns:x14ac="http://schemas.microsoft.com/office/spreadsheetml/2009/9/ac" r="10" s="8" customFormat="true" x14ac:dyDescent="0.35">
      <c r="B10" s="4"/>
      <c r="C10" s="8"/>
      <c r="D10" s="8"/>
      <c r="E10" s="8" t="s">
        <v>869</v>
      </c>
      <c r="F10" s="8">
        <v>0</v>
      </c>
      <c r="H10" s="8"/>
    </row>
    <row xmlns:x14ac="http://schemas.microsoft.com/office/spreadsheetml/2009/9/ac" r="11" s="8" customFormat="true" x14ac:dyDescent="0.35">
      <c r="B11" s="4"/>
      <c r="C11" s="8"/>
      <c r="D11" s="8"/>
      <c r="E11" s="8" t="s">
        <v>870</v>
      </c>
      <c r="F11" s="8">
        <v>0</v>
      </c>
      <c r="H11" s="8"/>
    </row>
    <row xmlns:x14ac="http://schemas.microsoft.com/office/spreadsheetml/2009/9/ac" r="12" s="26" customFormat="true" ht="10.5" x14ac:dyDescent="0.25">
      <c r="B12" s="26"/>
      <c r="C12" s="26"/>
      <c r="D12" s="26"/>
      <c r="E12" s="26" t="s">
        <v>871</v>
      </c>
      <c r="F12" s="26" t="s">
        <v>877</v>
      </c>
      <c r="H12" s="26"/>
    </row>
    <row xmlns:x14ac="http://schemas.microsoft.com/office/spreadsheetml/2009/9/ac" r="13" s="3" customFormat="true" x14ac:dyDescent="0.35">
      <c r="B13" s="5" t="s">
        <v>58</v>
      </c>
      <c r="C13" s="5" t="s">
        <v>465</v>
      </c>
      <c r="D13" s="5" t="s">
        <v>846</v>
      </c>
      <c r="E13" s="5" t="s">
        <v>872</v>
      </c>
      <c r="F13" s="5" t="s">
        <v>878</v>
      </c>
      <c r="G13" s="5" t="s">
        <v>56</v>
      </c>
      <c r="H13" s="5" t="s">
        <v>55</v>
      </c>
      <c r="I13" s="5"/>
    </row>
    <row r="14">
      <c r="B14" s="1" t="s">
        <v>59</v>
      </c>
      <c r="C14" s="1" t="s">
        <v>466</v>
      </c>
      <c r="D14" s="1" t="s">
        <v>847</v>
      </c>
      <c r="E14" s="1" t="s">
        <v>873</v>
      </c>
      <c r="F14" s="1" t="s">
        <v>47</v>
      </c>
      <c r="G14" s="1"/>
    </row>
    <row r="15">
      <c r="B15" s="1" t="s">
        <v>60</v>
      </c>
      <c r="C15" s="1" t="s">
        <v>467</v>
      </c>
      <c r="D15" s="1" t="s">
        <v>847</v>
      </c>
      <c r="E15" s="1" t="s">
        <v>874</v>
      </c>
      <c r="F15" s="1" t="s">
        <v>47</v>
      </c>
      <c r="G15" s="1"/>
    </row>
    <row r="16">
      <c r="B16" s="1" t="s">
        <v>61</v>
      </c>
      <c r="C16" s="1" t="s">
        <v>468</v>
      </c>
      <c r="D16" s="1" t="s">
        <v>848</v>
      </c>
      <c r="E16" s="1" t="s">
        <v>874</v>
      </c>
      <c r="F16" s="1" t="s">
        <v>48</v>
      </c>
      <c r="G16" s="1"/>
    </row>
    <row r="17">
      <c r="B17" s="1" t="s">
        <v>62</v>
      </c>
      <c r="C17" s="1" t="s">
        <v>469</v>
      </c>
      <c r="D17" s="1" t="s">
        <v>848</v>
      </c>
      <c r="E17" s="1" t="s">
        <v>874</v>
      </c>
      <c r="F17" s="1" t="s">
        <v>47</v>
      </c>
      <c r="G17" s="1"/>
    </row>
    <row r="18">
      <c r="B18" s="1" t="s">
        <v>63</v>
      </c>
      <c r="C18" s="1" t="s">
        <v>470</v>
      </c>
      <c r="D18" s="1" t="s">
        <v>848</v>
      </c>
      <c r="E18" s="1" t="s">
        <v>874</v>
      </c>
      <c r="F18" s="1" t="s">
        <v>47</v>
      </c>
      <c r="G18" s="1"/>
    </row>
    <row r="19">
      <c r="B19" s="1" t="s">
        <v>64</v>
      </c>
      <c r="C19" s="1" t="s">
        <v>471</v>
      </c>
      <c r="D19" s="1" t="s">
        <v>848</v>
      </c>
      <c r="E19" s="1" t="s">
        <v>874</v>
      </c>
      <c r="F19" s="1" t="s">
        <v>47</v>
      </c>
      <c r="G19" s="1"/>
    </row>
    <row r="20">
      <c r="B20" s="1" t="s">
        <v>65</v>
      </c>
      <c r="C20" s="1" t="s">
        <v>472</v>
      </c>
      <c r="D20" s="1" t="s">
        <v>849</v>
      </c>
      <c r="E20" s="1" t="s">
        <v>874</v>
      </c>
      <c r="F20" s="1" t="s">
        <v>47</v>
      </c>
      <c r="G20" s="1"/>
    </row>
    <row r="21">
      <c r="B21" s="1" t="s">
        <v>66</v>
      </c>
      <c r="C21" s="1" t="s">
        <v>473</v>
      </c>
      <c r="D21" s="1" t="s">
        <v>848</v>
      </c>
      <c r="E21" s="1" t="s">
        <v>874</v>
      </c>
      <c r="F21" s="1" t="s">
        <v>47</v>
      </c>
      <c r="G21" s="1"/>
    </row>
    <row r="22">
      <c r="B22" s="1" t="s">
        <v>67</v>
      </c>
      <c r="C22" s="1" t="s">
        <v>474</v>
      </c>
      <c r="D22" s="1" t="s">
        <v>847</v>
      </c>
      <c r="E22" s="1" t="s">
        <v>874</v>
      </c>
      <c r="F22" s="1" t="s">
        <v>47</v>
      </c>
      <c r="G22" s="1"/>
    </row>
    <row r="23">
      <c r="B23" s="1" t="s">
        <v>68</v>
      </c>
      <c r="C23" s="1" t="s">
        <v>475</v>
      </c>
      <c r="D23" s="1" t="s">
        <v>850</v>
      </c>
      <c r="E23" s="1" t="s">
        <v>874</v>
      </c>
      <c r="F23" s="1" t="s">
        <v>47</v>
      </c>
      <c r="G23" s="1"/>
    </row>
    <row r="24">
      <c r="B24" s="1" t="s">
        <v>69</v>
      </c>
      <c r="C24" s="1" t="s">
        <v>476</v>
      </c>
      <c r="D24" s="1" t="s">
        <v>847</v>
      </c>
      <c r="E24" s="1" t="s">
        <v>874</v>
      </c>
      <c r="F24" s="1" t="s">
        <v>48</v>
      </c>
      <c r="G24" s="1"/>
    </row>
    <row r="25">
      <c r="B25" s="1" t="s">
        <v>70</v>
      </c>
      <c r="C25" s="1" t="s">
        <v>477</v>
      </c>
      <c r="D25" s="1" t="s">
        <v>851</v>
      </c>
      <c r="E25" s="1" t="s">
        <v>874</v>
      </c>
      <c r="F25" s="1" t="s">
        <v>47</v>
      </c>
      <c r="G25" s="1"/>
    </row>
    <row r="26">
      <c r="B26" s="1" t="s">
        <v>71</v>
      </c>
      <c r="C26" s="1" t="s">
        <v>478</v>
      </c>
      <c r="D26" s="1" t="s">
        <v>852</v>
      </c>
      <c r="E26" s="1" t="s">
        <v>874</v>
      </c>
      <c r="F26" s="1" t="s">
        <v>47</v>
      </c>
      <c r="G26" s="1"/>
    </row>
    <row r="27">
      <c r="B27" s="1" t="s">
        <v>72</v>
      </c>
      <c r="C27" s="1" t="s">
        <v>479</v>
      </c>
      <c r="D27" s="1" t="s">
        <v>851</v>
      </c>
      <c r="E27" s="1" t="s">
        <v>874</v>
      </c>
      <c r="F27" s="1" t="s">
        <v>47</v>
      </c>
      <c r="G27" s="1"/>
    </row>
    <row r="28">
      <c r="B28" s="1" t="s">
        <v>73</v>
      </c>
      <c r="C28" s="1" t="s">
        <v>480</v>
      </c>
      <c r="D28" s="1" t="s">
        <v>853</v>
      </c>
      <c r="E28" s="1" t="s">
        <v>874</v>
      </c>
      <c r="F28" s="1" t="s">
        <v>47</v>
      </c>
      <c r="G28" s="1"/>
    </row>
    <row r="29">
      <c r="B29" s="1" t="s">
        <v>74</v>
      </c>
      <c r="C29" s="1" t="s">
        <v>481</v>
      </c>
      <c r="D29" s="1" t="s">
        <v>854</v>
      </c>
      <c r="E29" s="1" t="s">
        <v>874</v>
      </c>
      <c r="F29" s="1" t="s">
        <v>47</v>
      </c>
      <c r="G29" s="1"/>
    </row>
    <row r="30">
      <c r="B30" s="1" t="s">
        <v>75</v>
      </c>
      <c r="C30" s="1" t="s">
        <v>482</v>
      </c>
      <c r="D30" s="1" t="s">
        <v>851</v>
      </c>
      <c r="E30" s="1" t="s">
        <v>874</v>
      </c>
      <c r="F30" s="1" t="s">
        <v>47</v>
      </c>
      <c r="G30" s="1"/>
    </row>
    <row r="31">
      <c r="B31" s="1" t="s">
        <v>76</v>
      </c>
      <c r="C31" s="1" t="s">
        <v>483</v>
      </c>
      <c r="D31" s="1" t="s">
        <v>852</v>
      </c>
      <c r="E31" s="1" t="s">
        <v>874</v>
      </c>
      <c r="F31" s="1" t="s">
        <v>47</v>
      </c>
      <c r="G31" s="1"/>
    </row>
    <row r="32">
      <c r="B32" s="1" t="s">
        <v>77</v>
      </c>
      <c r="C32" s="1" t="s">
        <v>484</v>
      </c>
      <c r="D32" s="1" t="s">
        <v>847</v>
      </c>
      <c r="E32" s="1" t="s">
        <v>874</v>
      </c>
      <c r="F32" s="1" t="s">
        <v>47</v>
      </c>
      <c r="G32" s="1"/>
    </row>
    <row r="33">
      <c r="B33" s="1" t="s">
        <v>78</v>
      </c>
      <c r="C33" s="1" t="s">
        <v>485</v>
      </c>
      <c r="D33" s="1" t="s">
        <v>851</v>
      </c>
      <c r="E33" s="1" t="s">
        <v>874</v>
      </c>
      <c r="F33" s="1" t="s">
        <v>47</v>
      </c>
      <c r="G33" s="1"/>
    </row>
    <row r="34">
      <c r="B34" s="1" t="s">
        <v>79</v>
      </c>
      <c r="C34" s="1" t="s">
        <v>486</v>
      </c>
      <c r="D34" s="1" t="s">
        <v>851</v>
      </c>
      <c r="E34" s="1" t="s">
        <v>874</v>
      </c>
      <c r="F34" s="1" t="s">
        <v>47</v>
      </c>
      <c r="G34" s="1"/>
    </row>
    <row r="35">
      <c r="B35" s="1" t="s">
        <v>80</v>
      </c>
      <c r="C35" s="1" t="s">
        <v>487</v>
      </c>
      <c r="D35" s="1" t="s">
        <v>851</v>
      </c>
      <c r="E35" s="1" t="s">
        <v>874</v>
      </c>
      <c r="F35" s="1" t="s">
        <v>47</v>
      </c>
      <c r="G35" s="1"/>
    </row>
    <row r="36">
      <c r="B36" s="1" t="s">
        <v>81</v>
      </c>
      <c r="C36" s="1" t="s">
        <v>488</v>
      </c>
      <c r="D36" s="1" t="s">
        <v>851</v>
      </c>
      <c r="E36" s="1" t="s">
        <v>874</v>
      </c>
      <c r="F36" s="1" t="s">
        <v>47</v>
      </c>
      <c r="G36" s="1"/>
    </row>
    <row r="37">
      <c r="B37" s="1" t="s">
        <v>82</v>
      </c>
      <c r="C37" s="1" t="s">
        <v>489</v>
      </c>
      <c r="D37" s="1" t="s">
        <v>855</v>
      </c>
      <c r="E37" s="1" t="s">
        <v>874</v>
      </c>
      <c r="F37" s="1" t="s">
        <v>47</v>
      </c>
      <c r="G37" s="1"/>
    </row>
    <row r="38">
      <c r="B38" s="1" t="s">
        <v>83</v>
      </c>
      <c r="C38" s="1" t="s">
        <v>490</v>
      </c>
      <c r="D38" s="1" t="s">
        <v>855</v>
      </c>
      <c r="E38" s="1" t="s">
        <v>874</v>
      </c>
      <c r="F38" s="1" t="s">
        <v>47</v>
      </c>
      <c r="G38" s="1"/>
    </row>
    <row r="39">
      <c r="B39" s="1" t="s">
        <v>84</v>
      </c>
      <c r="C39" s="1" t="s">
        <v>491</v>
      </c>
      <c r="D39" s="1" t="s">
        <v>855</v>
      </c>
      <c r="E39" s="1" t="s">
        <v>873</v>
      </c>
      <c r="F39" s="1" t="s">
        <v>47</v>
      </c>
      <c r="G39" s="1"/>
    </row>
    <row r="40">
      <c r="B40" s="1" t="s">
        <v>85</v>
      </c>
      <c r="C40" s="1" t="s">
        <v>492</v>
      </c>
      <c r="D40" s="1" t="s">
        <v>847</v>
      </c>
      <c r="E40" s="1" t="s">
        <v>874</v>
      </c>
      <c r="F40" s="1" t="s">
        <v>47</v>
      </c>
      <c r="G40" s="1"/>
    </row>
    <row r="41">
      <c r="B41" s="1" t="s">
        <v>86</v>
      </c>
      <c r="C41" s="1" t="s">
        <v>493</v>
      </c>
      <c r="D41" s="1" t="s">
        <v>855</v>
      </c>
      <c r="E41" s="1" t="s">
        <v>874</v>
      </c>
      <c r="F41" s="1" t="s">
        <v>47</v>
      </c>
      <c r="G41" s="1"/>
    </row>
    <row r="42">
      <c r="B42" s="1" t="s">
        <v>87</v>
      </c>
      <c r="C42" s="1" t="s">
        <v>494</v>
      </c>
      <c r="D42" s="1" t="s">
        <v>852</v>
      </c>
      <c r="E42" s="1" t="s">
        <v>873</v>
      </c>
      <c r="F42" s="1" t="s">
        <v>47</v>
      </c>
      <c r="G42" s="1"/>
    </row>
    <row r="43">
      <c r="B43" s="1" t="s">
        <v>88</v>
      </c>
      <c r="C43" s="1" t="s">
        <v>495</v>
      </c>
      <c r="D43" s="1" t="s">
        <v>852</v>
      </c>
      <c r="E43" s="1" t="s">
        <v>874</v>
      </c>
      <c r="F43" s="1" t="s">
        <v>47</v>
      </c>
      <c r="G43" s="1"/>
    </row>
    <row r="44">
      <c r="B44" s="1" t="s">
        <v>89</v>
      </c>
      <c r="C44" s="1" t="s">
        <v>496</v>
      </c>
      <c r="D44" s="1" t="s">
        <v>847</v>
      </c>
      <c r="E44" s="1" t="s">
        <v>874</v>
      </c>
      <c r="F44" s="1" t="s">
        <v>47</v>
      </c>
      <c r="G44" s="1"/>
    </row>
    <row r="45">
      <c r="B45" s="1" t="s">
        <v>90</v>
      </c>
      <c r="C45" s="1" t="s">
        <v>497</v>
      </c>
      <c r="D45" s="1" t="s">
        <v>850</v>
      </c>
      <c r="E45" s="1" t="s">
        <v>873</v>
      </c>
      <c r="F45" s="1" t="s">
        <v>47</v>
      </c>
      <c r="G45" s="1"/>
    </row>
    <row r="46">
      <c r="B46" s="1" t="s">
        <v>91</v>
      </c>
      <c r="C46" s="1" t="s">
        <v>498</v>
      </c>
      <c r="D46" s="1" t="s">
        <v>850</v>
      </c>
      <c r="E46" s="1" t="s">
        <v>873</v>
      </c>
      <c r="F46" s="1" t="s">
        <v>48</v>
      </c>
      <c r="G46" s="1"/>
    </row>
    <row r="47">
      <c r="B47" s="1" t="s">
        <v>92</v>
      </c>
      <c r="C47" s="1" t="s">
        <v>499</v>
      </c>
      <c r="D47" s="1" t="s">
        <v>847</v>
      </c>
      <c r="E47" s="1" t="s">
        <v>874</v>
      </c>
      <c r="F47" s="1" t="s">
        <v>47</v>
      </c>
      <c r="G47" s="1"/>
    </row>
    <row r="48">
      <c r="B48" s="1" t="s">
        <v>93</v>
      </c>
      <c r="C48" s="1" t="s">
        <v>500</v>
      </c>
      <c r="D48" s="1" t="s">
        <v>850</v>
      </c>
      <c r="E48" s="1" t="s">
        <v>873</v>
      </c>
      <c r="F48" s="1" t="s">
        <v>47</v>
      </c>
      <c r="G48" s="1"/>
    </row>
    <row r="49">
      <c r="B49" s="1" t="s">
        <v>94</v>
      </c>
      <c r="C49" s="1" t="s">
        <v>501</v>
      </c>
      <c r="D49" s="1" t="s">
        <v>850</v>
      </c>
      <c r="E49" s="1" t="s">
        <v>874</v>
      </c>
      <c r="F49" s="1" t="s">
        <v>47</v>
      </c>
      <c r="G49" s="1"/>
    </row>
    <row r="50">
      <c r="B50" s="1" t="s">
        <v>95</v>
      </c>
      <c r="C50" s="1" t="s">
        <v>502</v>
      </c>
      <c r="D50" s="1" t="s">
        <v>856</v>
      </c>
      <c r="E50" s="1" t="s">
        <v>873</v>
      </c>
      <c r="F50" s="1" t="s">
        <v>47</v>
      </c>
      <c r="G50" s="1"/>
    </row>
    <row r="51">
      <c r="B51" s="1" t="s">
        <v>96</v>
      </c>
      <c r="C51" s="1" t="s">
        <v>503</v>
      </c>
      <c r="D51" s="1" t="s">
        <v>850</v>
      </c>
      <c r="E51" s="1" t="s">
        <v>874</v>
      </c>
      <c r="F51" s="1" t="s">
        <v>47</v>
      </c>
      <c r="G51" s="1"/>
    </row>
    <row r="52">
      <c r="B52" s="1" t="s">
        <v>97</v>
      </c>
      <c r="C52" s="1" t="s">
        <v>504</v>
      </c>
      <c r="D52" s="1" t="s">
        <v>851</v>
      </c>
      <c r="E52" s="1" t="s">
        <v>874</v>
      </c>
      <c r="F52" s="1" t="s">
        <v>47</v>
      </c>
      <c r="G52" s="1"/>
    </row>
    <row r="53">
      <c r="B53" s="1" t="s">
        <v>98</v>
      </c>
      <c r="C53" s="1" t="s">
        <v>505</v>
      </c>
      <c r="D53" s="1" t="s">
        <v>847</v>
      </c>
      <c r="E53" s="1" t="s">
        <v>874</v>
      </c>
      <c r="F53" s="1" t="s">
        <v>47</v>
      </c>
      <c r="G53" s="1"/>
    </row>
    <row r="54">
      <c r="B54" s="1" t="s">
        <v>99</v>
      </c>
      <c r="C54" s="1" t="s">
        <v>506</v>
      </c>
      <c r="D54" s="1" t="s">
        <v>847</v>
      </c>
      <c r="E54" s="1" t="s">
        <v>873</v>
      </c>
      <c r="F54" s="1" t="s">
        <v>47</v>
      </c>
      <c r="G54" s="1"/>
    </row>
    <row r="55">
      <c r="B55" s="1" t="s">
        <v>100</v>
      </c>
      <c r="C55" s="1" t="s">
        <v>507</v>
      </c>
      <c r="D55" s="1" t="s">
        <v>851</v>
      </c>
      <c r="E55" s="1" t="s">
        <v>874</v>
      </c>
      <c r="F55" s="1" t="s">
        <v>47</v>
      </c>
      <c r="G55" s="1"/>
    </row>
    <row r="56">
      <c r="B56" s="1" t="s">
        <v>101</v>
      </c>
      <c r="C56" s="1" t="s">
        <v>508</v>
      </c>
      <c r="D56" s="1" t="s">
        <v>851</v>
      </c>
      <c r="E56" s="1" t="s">
        <v>874</v>
      </c>
      <c r="F56" s="1" t="s">
        <v>47</v>
      </c>
      <c r="G56" s="1"/>
    </row>
    <row r="57">
      <c r="B57" s="1" t="s">
        <v>102</v>
      </c>
      <c r="C57" s="1" t="s">
        <v>509</v>
      </c>
      <c r="D57" s="1" t="s">
        <v>850</v>
      </c>
      <c r="E57" s="1" t="s">
        <v>873</v>
      </c>
      <c r="F57" s="1" t="s">
        <v>47</v>
      </c>
      <c r="G57" s="1"/>
    </row>
    <row r="58">
      <c r="B58" s="1" t="s">
        <v>103</v>
      </c>
      <c r="C58" s="1" t="s">
        <v>510</v>
      </c>
      <c r="D58" s="1" t="s">
        <v>857</v>
      </c>
      <c r="E58" s="1" t="s">
        <v>874</v>
      </c>
      <c r="F58" s="1" t="s">
        <v>47</v>
      </c>
      <c r="G58" s="1"/>
    </row>
    <row r="59">
      <c r="B59" s="1" t="s">
        <v>104</v>
      </c>
      <c r="C59" s="1" t="s">
        <v>511</v>
      </c>
      <c r="D59" s="1" t="s">
        <v>851</v>
      </c>
      <c r="E59" s="1" t="s">
        <v>874</v>
      </c>
      <c r="F59" s="1" t="s">
        <v>47</v>
      </c>
      <c r="G59" s="1"/>
    </row>
    <row r="60">
      <c r="B60" s="1" t="s">
        <v>105</v>
      </c>
      <c r="C60" s="1" t="s">
        <v>512</v>
      </c>
      <c r="D60" s="1" t="s">
        <v>850</v>
      </c>
      <c r="E60" s="1" t="s">
        <v>874</v>
      </c>
      <c r="F60" s="1" t="s">
        <v>47</v>
      </c>
      <c r="G60" s="1"/>
    </row>
    <row r="61">
      <c r="B61" s="1" t="s">
        <v>106</v>
      </c>
      <c r="C61" s="1" t="s">
        <v>513</v>
      </c>
      <c r="D61" s="1" t="s">
        <v>855</v>
      </c>
      <c r="E61" s="1" t="s">
        <v>874</v>
      </c>
      <c r="F61" s="1" t="s">
        <v>47</v>
      </c>
      <c r="G61" s="1"/>
    </row>
    <row r="62">
      <c r="B62" s="1" t="s">
        <v>107</v>
      </c>
      <c r="C62" s="1" t="s">
        <v>514</v>
      </c>
      <c r="D62" s="1" t="s">
        <v>850</v>
      </c>
      <c r="E62" s="1" t="s">
        <v>874</v>
      </c>
      <c r="F62" s="1" t="s">
        <v>47</v>
      </c>
      <c r="G62" s="1"/>
    </row>
    <row r="63">
      <c r="B63" s="1" t="s">
        <v>108</v>
      </c>
      <c r="C63" s="1" t="s">
        <v>515</v>
      </c>
      <c r="D63" s="1" t="s">
        <v>848</v>
      </c>
      <c r="E63" s="1" t="s">
        <v>874</v>
      </c>
      <c r="F63" s="1" t="s">
        <v>48</v>
      </c>
      <c r="G63" s="1"/>
    </row>
    <row r="64">
      <c r="B64" s="1" t="s">
        <v>109</v>
      </c>
      <c r="C64" s="1" t="s">
        <v>516</v>
      </c>
      <c r="D64" s="1" t="s">
        <v>850</v>
      </c>
      <c r="E64" s="1" t="s">
        <v>873</v>
      </c>
      <c r="F64" s="1" t="s">
        <v>47</v>
      </c>
      <c r="G64" s="1"/>
    </row>
    <row r="65">
      <c r="B65" s="1" t="s">
        <v>110</v>
      </c>
      <c r="C65" s="1" t="s">
        <v>517</v>
      </c>
      <c r="D65" s="1" t="s">
        <v>855</v>
      </c>
      <c r="E65" s="1" t="s">
        <v>874</v>
      </c>
      <c r="F65" s="1" t="s">
        <v>47</v>
      </c>
      <c r="G65" s="1"/>
    </row>
    <row r="66">
      <c r="B66" s="1" t="s">
        <v>111</v>
      </c>
      <c r="C66" s="1" t="s">
        <v>518</v>
      </c>
      <c r="D66" s="1" t="s">
        <v>850</v>
      </c>
      <c r="E66" s="1" t="s">
        <v>874</v>
      </c>
      <c r="F66" s="1" t="s">
        <v>47</v>
      </c>
      <c r="G66" s="1"/>
    </row>
    <row r="67">
      <c r="B67" s="1" t="s">
        <v>112</v>
      </c>
      <c r="C67" s="1" t="s">
        <v>519</v>
      </c>
      <c r="D67" s="1" t="s">
        <v>852</v>
      </c>
      <c r="E67" s="1" t="s">
        <v>874</v>
      </c>
      <c r="F67" s="1" t="s">
        <v>47</v>
      </c>
      <c r="G67" s="1"/>
    </row>
    <row r="68">
      <c r="B68" s="1" t="s">
        <v>113</v>
      </c>
      <c r="C68" s="1" t="s">
        <v>520</v>
      </c>
      <c r="D68" s="1" t="s">
        <v>850</v>
      </c>
      <c r="E68" s="1" t="s">
        <v>873</v>
      </c>
      <c r="F68" s="1" t="s">
        <v>47</v>
      </c>
      <c r="G68" s="1"/>
    </row>
    <row r="69">
      <c r="B69" s="1" t="s">
        <v>114</v>
      </c>
      <c r="C69" s="1" t="s">
        <v>521</v>
      </c>
      <c r="D69" s="1" t="s">
        <v>847</v>
      </c>
      <c r="E69" s="1" t="s">
        <v>874</v>
      </c>
      <c r="F69" s="1" t="s">
        <v>47</v>
      </c>
      <c r="G69" s="1"/>
    </row>
    <row r="70">
      <c r="B70" s="1" t="s">
        <v>115</v>
      </c>
      <c r="C70" s="1" t="s">
        <v>522</v>
      </c>
      <c r="D70" s="1" t="s">
        <v>851</v>
      </c>
      <c r="E70" s="1" t="s">
        <v>874</v>
      </c>
      <c r="F70" s="1" t="s">
        <v>47</v>
      </c>
      <c r="G70" s="1"/>
    </row>
    <row r="71">
      <c r="B71" s="1" t="s">
        <v>116</v>
      </c>
      <c r="C71" s="1" t="s">
        <v>523</v>
      </c>
      <c r="D71" s="1" t="s">
        <v>847</v>
      </c>
      <c r="E71" s="1" t="s">
        <v>874</v>
      </c>
      <c r="F71" s="1" t="s">
        <v>48</v>
      </c>
      <c r="G71" s="1"/>
    </row>
    <row r="72">
      <c r="B72" s="1" t="s">
        <v>117</v>
      </c>
      <c r="C72" s="1" t="s">
        <v>524</v>
      </c>
      <c r="D72" s="1" t="s">
        <v>850</v>
      </c>
      <c r="E72" s="1" t="s">
        <v>874</v>
      </c>
      <c r="F72" s="1" t="s">
        <v>47</v>
      </c>
      <c r="G72" s="1"/>
    </row>
    <row r="73">
      <c r="B73" s="1" t="s">
        <v>118</v>
      </c>
      <c r="C73" s="1" t="s">
        <v>525</v>
      </c>
      <c r="D73" s="1" t="s">
        <v>851</v>
      </c>
      <c r="E73" s="1" t="s">
        <v>874</v>
      </c>
      <c r="F73" s="1" t="s">
        <v>47</v>
      </c>
      <c r="G73" s="1"/>
    </row>
    <row r="74">
      <c r="B74" s="1" t="s">
        <v>119</v>
      </c>
      <c r="C74" s="1" t="s">
        <v>526</v>
      </c>
      <c r="D74" s="1" t="s">
        <v>851</v>
      </c>
      <c r="E74" s="1" t="s">
        <v>874</v>
      </c>
      <c r="F74" s="1" t="s">
        <v>47</v>
      </c>
      <c r="G74" s="1"/>
    </row>
    <row r="75">
      <c r="B75" s="1" t="s">
        <v>120</v>
      </c>
      <c r="C75" s="1" t="s">
        <v>527</v>
      </c>
      <c r="D75" s="1" t="s">
        <v>855</v>
      </c>
      <c r="E75" s="1" t="s">
        <v>873</v>
      </c>
      <c r="F75" s="1" t="s">
        <v>48</v>
      </c>
      <c r="G75" s="1"/>
    </row>
    <row r="76">
      <c r="B76" s="1" t="s">
        <v>121</v>
      </c>
      <c r="C76" s="1" t="s">
        <v>528</v>
      </c>
      <c r="D76" s="1" t="s">
        <v>847</v>
      </c>
      <c r="E76" s="1" t="s">
        <v>874</v>
      </c>
      <c r="F76" s="1" t="s">
        <v>47</v>
      </c>
      <c r="G76" s="1"/>
    </row>
    <row r="77">
      <c r="B77" s="1" t="s">
        <v>122</v>
      </c>
      <c r="C77" s="1" t="s">
        <v>529</v>
      </c>
      <c r="D77" s="1" t="s">
        <v>850</v>
      </c>
      <c r="E77" s="1" t="s">
        <v>874</v>
      </c>
      <c r="F77" s="1" t="s">
        <v>47</v>
      </c>
      <c r="G77" s="1"/>
    </row>
    <row r="78">
      <c r="B78" s="1" t="s">
        <v>123</v>
      </c>
      <c r="C78" s="1" t="s">
        <v>530</v>
      </c>
      <c r="D78" s="1" t="s">
        <v>850</v>
      </c>
      <c r="E78" s="1" t="s">
        <v>874</v>
      </c>
      <c r="F78" s="1" t="s">
        <v>47</v>
      </c>
      <c r="G78" s="1"/>
    </row>
    <row r="79">
      <c r="B79" s="1" t="s">
        <v>124</v>
      </c>
      <c r="C79" s="1" t="s">
        <v>531</v>
      </c>
      <c r="D79" s="1" t="s">
        <v>850</v>
      </c>
      <c r="E79" s="1" t="s">
        <v>873</v>
      </c>
      <c r="F79" s="1" t="s">
        <v>47</v>
      </c>
      <c r="G79" s="1"/>
    </row>
    <row r="80">
      <c r="B80" s="1" t="s">
        <v>125</v>
      </c>
      <c r="C80" s="1" t="s">
        <v>532</v>
      </c>
      <c r="D80" s="1" t="s">
        <v>855</v>
      </c>
      <c r="E80" s="1" t="s">
        <v>874</v>
      </c>
      <c r="F80" s="1" t="s">
        <v>47</v>
      </c>
      <c r="G80" s="1"/>
    </row>
    <row r="81">
      <c r="B81" s="1" t="s">
        <v>126</v>
      </c>
      <c r="C81" s="1" t="s">
        <v>533</v>
      </c>
      <c r="D81" s="1" t="s">
        <v>851</v>
      </c>
      <c r="E81" s="1" t="s">
        <v>874</v>
      </c>
      <c r="F81" s="1" t="s">
        <v>47</v>
      </c>
      <c r="G81" s="1"/>
    </row>
    <row r="82">
      <c r="B82" s="1" t="s">
        <v>127</v>
      </c>
      <c r="C82" s="1" t="s">
        <v>534</v>
      </c>
      <c r="D82" s="1" t="s">
        <v>847</v>
      </c>
      <c r="E82" s="1" t="s">
        <v>874</v>
      </c>
      <c r="F82" s="1" t="s">
        <v>47</v>
      </c>
      <c r="G82" s="1"/>
    </row>
    <row r="83">
      <c r="B83" s="1" t="s">
        <v>128</v>
      </c>
      <c r="C83" s="1" t="s">
        <v>535</v>
      </c>
      <c r="D83" s="1" t="s">
        <v>847</v>
      </c>
      <c r="E83" s="1" t="s">
        <v>874</v>
      </c>
      <c r="F83" s="1" t="s">
        <v>47</v>
      </c>
      <c r="G83" s="1"/>
    </row>
    <row r="84">
      <c r="B84" s="1" t="s">
        <v>129</v>
      </c>
      <c r="C84" s="1" t="s">
        <v>536</v>
      </c>
      <c r="D84" s="1" t="s">
        <v>852</v>
      </c>
      <c r="E84" s="1" t="s">
        <v>873</v>
      </c>
      <c r="F84" s="1" t="s">
        <v>47</v>
      </c>
      <c r="G84" s="1"/>
    </row>
    <row r="85">
      <c r="B85" s="1" t="s">
        <v>130</v>
      </c>
      <c r="C85" s="1" t="s">
        <v>537</v>
      </c>
      <c r="D85" s="1" t="s">
        <v>847</v>
      </c>
      <c r="E85" s="1" t="s">
        <v>874</v>
      </c>
      <c r="F85" s="1" t="s">
        <v>47</v>
      </c>
      <c r="G85" s="1"/>
    </row>
    <row r="86">
      <c r="B86" s="1" t="s">
        <v>131</v>
      </c>
      <c r="C86" s="1" t="s">
        <v>538</v>
      </c>
      <c r="D86" s="1" t="s">
        <v>852</v>
      </c>
      <c r="E86" s="1" t="s">
        <v>874</v>
      </c>
      <c r="F86" s="1" t="s">
        <v>47</v>
      </c>
      <c r="G86" s="1"/>
    </row>
    <row r="87">
      <c r="B87" s="1" t="s">
        <v>132</v>
      </c>
      <c r="C87" s="1" t="s">
        <v>539</v>
      </c>
      <c r="D87" s="1" t="s">
        <v>857</v>
      </c>
      <c r="E87" s="1" t="s">
        <v>875</v>
      </c>
      <c r="F87" s="1" t="s">
        <v>47</v>
      </c>
      <c r="G87" s="1"/>
    </row>
    <row r="88">
      <c r="B88" s="1" t="s">
        <v>133</v>
      </c>
      <c r="C88" s="1" t="s">
        <v>540</v>
      </c>
      <c r="D88" s="1" t="s">
        <v>848</v>
      </c>
      <c r="E88" s="1" t="s">
        <v>873</v>
      </c>
      <c r="F88" s="1" t="s">
        <v>48</v>
      </c>
      <c r="G88" s="1"/>
    </row>
    <row r="89">
      <c r="B89" s="1" t="s">
        <v>134</v>
      </c>
      <c r="C89" s="1" t="s">
        <v>541</v>
      </c>
      <c r="D89" s="1" t="s">
        <v>852</v>
      </c>
      <c r="E89" s="1" t="s">
        <v>873</v>
      </c>
      <c r="F89" s="1" t="s">
        <v>47</v>
      </c>
      <c r="G89" s="1"/>
    </row>
    <row r="90">
      <c r="B90" s="1" t="s">
        <v>135</v>
      </c>
      <c r="C90" s="1" t="s">
        <v>542</v>
      </c>
      <c r="D90" s="1" t="s">
        <v>857</v>
      </c>
      <c r="E90" s="1" t="s">
        <v>874</v>
      </c>
      <c r="F90" s="1" t="s">
        <v>47</v>
      </c>
      <c r="G90" s="1"/>
    </row>
    <row r="91">
      <c r="B91" s="1" t="s">
        <v>136</v>
      </c>
      <c r="C91" s="1" t="s">
        <v>543</v>
      </c>
      <c r="D91" s="1" t="s">
        <v>857</v>
      </c>
      <c r="E91" s="1" t="s">
        <v>874</v>
      </c>
      <c r="F91" s="1" t="s">
        <v>47</v>
      </c>
      <c r="G91" s="1"/>
    </row>
    <row r="92">
      <c r="B92" s="1" t="s">
        <v>137</v>
      </c>
      <c r="C92" s="1" t="s">
        <v>544</v>
      </c>
      <c r="D92" s="1" t="s">
        <v>857</v>
      </c>
      <c r="E92" s="1" t="s">
        <v>874</v>
      </c>
      <c r="F92" s="1" t="s">
        <v>47</v>
      </c>
      <c r="G92" s="1"/>
    </row>
    <row r="93">
      <c r="B93" s="1" t="s">
        <v>138</v>
      </c>
      <c r="C93" s="1" t="s">
        <v>545</v>
      </c>
      <c r="D93" s="1" t="s">
        <v>857</v>
      </c>
      <c r="E93" s="1" t="s">
        <v>874</v>
      </c>
      <c r="F93" s="1" t="s">
        <v>47</v>
      </c>
      <c r="G93" s="1"/>
    </row>
    <row r="94">
      <c r="B94" s="1" t="s">
        <v>139</v>
      </c>
      <c r="C94" s="1" t="s">
        <v>546</v>
      </c>
      <c r="D94" s="1" t="s">
        <v>857</v>
      </c>
      <c r="E94" s="1" t="s">
        <v>874</v>
      </c>
      <c r="F94" s="1" t="s">
        <v>47</v>
      </c>
      <c r="G94" s="1"/>
    </row>
    <row r="95">
      <c r="B95" s="1" t="s">
        <v>140</v>
      </c>
      <c r="C95" s="1" t="s">
        <v>547</v>
      </c>
      <c r="D95" s="1" t="s">
        <v>857</v>
      </c>
      <c r="E95" s="1" t="s">
        <v>874</v>
      </c>
      <c r="F95" s="1" t="s">
        <v>47</v>
      </c>
      <c r="G95" s="1"/>
    </row>
    <row r="96">
      <c r="B96" s="1" t="s">
        <v>141</v>
      </c>
      <c r="C96" s="1" t="s">
        <v>548</v>
      </c>
      <c r="D96" s="1" t="s">
        <v>857</v>
      </c>
      <c r="E96" s="1" t="s">
        <v>874</v>
      </c>
      <c r="F96" s="1" t="s">
        <v>47</v>
      </c>
      <c r="G96" s="1"/>
    </row>
    <row r="97">
      <c r="B97" s="1" t="s">
        <v>142</v>
      </c>
      <c r="C97" s="1" t="s">
        <v>549</v>
      </c>
      <c r="D97" s="1" t="s">
        <v>857</v>
      </c>
      <c r="E97" s="1" t="s">
        <v>874</v>
      </c>
      <c r="F97" s="1" t="s">
        <v>47</v>
      </c>
      <c r="G97" s="1"/>
    </row>
    <row r="98">
      <c r="B98" s="1" t="s">
        <v>143</v>
      </c>
      <c r="C98" s="1" t="s">
        <v>550</v>
      </c>
      <c r="D98" s="1" t="s">
        <v>857</v>
      </c>
      <c r="E98" s="1" t="s">
        <v>874</v>
      </c>
      <c r="F98" s="1" t="s">
        <v>48</v>
      </c>
      <c r="G98" s="1"/>
    </row>
    <row r="99">
      <c r="B99" s="1" t="s">
        <v>144</v>
      </c>
      <c r="C99" s="1" t="s">
        <v>551</v>
      </c>
      <c r="D99" s="1" t="s">
        <v>858</v>
      </c>
      <c r="E99" s="1" t="s">
        <v>874</v>
      </c>
      <c r="F99" s="1" t="s">
        <v>47</v>
      </c>
      <c r="G99" s="1"/>
    </row>
    <row r="100">
      <c r="B100" s="1" t="s">
        <v>145</v>
      </c>
      <c r="C100" s="1" t="s">
        <v>552</v>
      </c>
      <c r="D100" s="1" t="s">
        <v>858</v>
      </c>
      <c r="E100" s="1" t="s">
        <v>874</v>
      </c>
      <c r="F100" s="1" t="s">
        <v>47</v>
      </c>
      <c r="G100" s="1"/>
    </row>
    <row r="101">
      <c r="B101" s="1" t="s">
        <v>146</v>
      </c>
      <c r="C101" s="1" t="s">
        <v>553</v>
      </c>
      <c r="D101" s="1" t="s">
        <v>858</v>
      </c>
      <c r="E101" s="1" t="s">
        <v>874</v>
      </c>
      <c r="F101" s="1" t="s">
        <v>47</v>
      </c>
      <c r="G101" s="1"/>
    </row>
    <row r="102">
      <c r="B102" s="1" t="s">
        <v>147</v>
      </c>
      <c r="C102" s="1" t="s">
        <v>554</v>
      </c>
      <c r="D102" s="1" t="s">
        <v>858</v>
      </c>
      <c r="E102" s="1" t="s">
        <v>874</v>
      </c>
      <c r="F102" s="1" t="s">
        <v>48</v>
      </c>
      <c r="G102" s="1"/>
    </row>
    <row r="103">
      <c r="B103" s="1" t="s">
        <v>148</v>
      </c>
      <c r="C103" s="1" t="s">
        <v>555</v>
      </c>
      <c r="D103" s="1" t="s">
        <v>858</v>
      </c>
      <c r="E103" s="1" t="s">
        <v>874</v>
      </c>
      <c r="F103" s="1" t="s">
        <v>47</v>
      </c>
      <c r="G103" s="1"/>
    </row>
    <row r="104">
      <c r="B104" s="1" t="s">
        <v>149</v>
      </c>
      <c r="C104" s="1" t="s">
        <v>556</v>
      </c>
      <c r="D104" s="1" t="s">
        <v>858</v>
      </c>
      <c r="E104" s="1" t="s">
        <v>874</v>
      </c>
      <c r="F104" s="1" t="s">
        <v>47</v>
      </c>
      <c r="G104" s="1"/>
    </row>
    <row r="105">
      <c r="B105" s="1" t="s">
        <v>150</v>
      </c>
      <c r="C105" s="1" t="s">
        <v>557</v>
      </c>
      <c r="D105" s="1" t="s">
        <v>858</v>
      </c>
      <c r="E105" s="1" t="s">
        <v>874</v>
      </c>
      <c r="F105" s="1" t="s">
        <v>48</v>
      </c>
      <c r="G105" s="1"/>
    </row>
    <row r="106">
      <c r="B106" s="1" t="s">
        <v>151</v>
      </c>
      <c r="C106" s="1" t="s">
        <v>558</v>
      </c>
      <c r="D106" s="1" t="s">
        <v>858</v>
      </c>
      <c r="E106" s="1" t="s">
        <v>874</v>
      </c>
      <c r="F106" s="1" t="s">
        <v>47</v>
      </c>
      <c r="G106" s="1"/>
    </row>
    <row r="107">
      <c r="B107" s="1" t="s">
        <v>152</v>
      </c>
      <c r="C107" s="1" t="s">
        <v>559</v>
      </c>
      <c r="D107" s="1" t="s">
        <v>858</v>
      </c>
      <c r="E107" s="1" t="s">
        <v>874</v>
      </c>
      <c r="F107" s="1" t="s">
        <v>47</v>
      </c>
      <c r="G107" s="1"/>
    </row>
    <row r="108">
      <c r="B108" s="1" t="s">
        <v>153</v>
      </c>
      <c r="C108" s="1" t="s">
        <v>560</v>
      </c>
      <c r="D108" s="1" t="s">
        <v>858</v>
      </c>
      <c r="E108" s="1" t="s">
        <v>874</v>
      </c>
      <c r="F108" s="1" t="s">
        <v>47</v>
      </c>
      <c r="G108" s="1"/>
    </row>
    <row r="109">
      <c r="B109" s="1" t="s">
        <v>154</v>
      </c>
      <c r="C109" s="1" t="s">
        <v>561</v>
      </c>
      <c r="D109" s="1" t="s">
        <v>858</v>
      </c>
      <c r="E109" s="1" t="s">
        <v>874</v>
      </c>
      <c r="F109" s="1" t="s">
        <v>47</v>
      </c>
      <c r="G109" s="1"/>
    </row>
    <row r="110">
      <c r="B110" s="1" t="s">
        <v>155</v>
      </c>
      <c r="C110" s="1" t="s">
        <v>562</v>
      </c>
      <c r="D110" s="1" t="s">
        <v>858</v>
      </c>
      <c r="E110" s="1" t="s">
        <v>874</v>
      </c>
      <c r="F110" s="1" t="s">
        <v>47</v>
      </c>
      <c r="G110" s="1"/>
    </row>
    <row r="111">
      <c r="B111" s="1" t="s">
        <v>156</v>
      </c>
      <c r="C111" s="1" t="s">
        <v>563</v>
      </c>
      <c r="D111" s="1" t="s">
        <v>847</v>
      </c>
      <c r="E111" s="1" t="s">
        <v>874</v>
      </c>
      <c r="F111" s="1" t="s">
        <v>47</v>
      </c>
      <c r="G111" s="1"/>
    </row>
    <row r="112">
      <c r="B112" s="1" t="s">
        <v>157</v>
      </c>
      <c r="C112" s="1" t="s">
        <v>564</v>
      </c>
      <c r="D112" s="1" t="s">
        <v>847</v>
      </c>
      <c r="E112" s="1" t="s">
        <v>874</v>
      </c>
      <c r="F112" s="1" t="s">
        <v>47</v>
      </c>
      <c r="G112" s="1"/>
    </row>
    <row r="113">
      <c r="B113" s="1" t="s">
        <v>158</v>
      </c>
      <c r="C113" s="1" t="s">
        <v>565</v>
      </c>
      <c r="D113" s="1" t="s">
        <v>847</v>
      </c>
      <c r="E113" s="1" t="s">
        <v>874</v>
      </c>
      <c r="F113" s="1" t="s">
        <v>47</v>
      </c>
      <c r="G113" s="1"/>
    </row>
    <row r="114">
      <c r="B114" s="1" t="s">
        <v>159</v>
      </c>
      <c r="C114" s="1" t="s">
        <v>566</v>
      </c>
      <c r="D114" s="1" t="s">
        <v>847</v>
      </c>
      <c r="E114" s="1" t="s">
        <v>874</v>
      </c>
      <c r="F114" s="1" t="s">
        <v>47</v>
      </c>
      <c r="G114" s="1"/>
    </row>
    <row r="115">
      <c r="B115" s="1" t="s">
        <v>160</v>
      </c>
      <c r="C115" s="1" t="s">
        <v>567</v>
      </c>
      <c r="D115" s="1" t="s">
        <v>847</v>
      </c>
      <c r="E115" s="1" t="s">
        <v>874</v>
      </c>
      <c r="F115" s="1" t="s">
        <v>47</v>
      </c>
      <c r="G115" s="1"/>
    </row>
    <row r="116">
      <c r="B116" s="1" t="s">
        <v>161</v>
      </c>
      <c r="C116" s="1" t="s">
        <v>568</v>
      </c>
      <c r="D116" s="1" t="s">
        <v>847</v>
      </c>
      <c r="E116" s="1" t="s">
        <v>874</v>
      </c>
      <c r="F116" s="1" t="s">
        <v>47</v>
      </c>
      <c r="G116" s="1"/>
    </row>
    <row r="117">
      <c r="B117" s="1" t="s">
        <v>162</v>
      </c>
      <c r="C117" s="1" t="s">
        <v>569</v>
      </c>
      <c r="D117" s="1" t="s">
        <v>847</v>
      </c>
      <c r="E117" s="1" t="s">
        <v>874</v>
      </c>
      <c r="F117" s="1" t="s">
        <v>47</v>
      </c>
      <c r="G117" s="1"/>
    </row>
    <row r="118">
      <c r="B118" s="1" t="s">
        <v>163</v>
      </c>
      <c r="C118" s="1" t="s">
        <v>570</v>
      </c>
      <c r="D118" s="1" t="s">
        <v>847</v>
      </c>
      <c r="E118" s="1" t="s">
        <v>874</v>
      </c>
      <c r="F118" s="1" t="s">
        <v>47</v>
      </c>
      <c r="G118" s="1"/>
    </row>
    <row r="119">
      <c r="B119" s="1" t="s">
        <v>164</v>
      </c>
      <c r="C119" s="1" t="s">
        <v>571</v>
      </c>
      <c r="D119" s="1" t="s">
        <v>856</v>
      </c>
      <c r="E119" s="1" t="s">
        <v>873</v>
      </c>
      <c r="F119" s="1" t="s">
        <v>48</v>
      </c>
      <c r="G119" s="1"/>
    </row>
    <row r="120">
      <c r="B120" s="1" t="s">
        <v>165</v>
      </c>
      <c r="C120" s="1" t="s">
        <v>508</v>
      </c>
      <c r="D120" s="1" t="s">
        <v>851</v>
      </c>
      <c r="E120" s="1" t="s">
        <v>874</v>
      </c>
      <c r="F120" s="1" t="s">
        <v>47</v>
      </c>
      <c r="G120" s="1"/>
    </row>
    <row r="121">
      <c r="B121" s="1" t="s">
        <v>166</v>
      </c>
      <c r="C121" s="1" t="s">
        <v>572</v>
      </c>
      <c r="D121" s="1" t="s">
        <v>847</v>
      </c>
      <c r="E121" s="1" t="s">
        <v>873</v>
      </c>
      <c r="F121" s="1" t="s">
        <v>48</v>
      </c>
      <c r="G121" s="1"/>
    </row>
    <row r="122">
      <c r="B122" s="1" t="s">
        <v>167</v>
      </c>
      <c r="C122" s="1" t="s">
        <v>573</v>
      </c>
      <c r="D122" s="1" t="s">
        <v>854</v>
      </c>
      <c r="E122" s="1" t="s">
        <v>874</v>
      </c>
      <c r="F122" s="1" t="s">
        <v>47</v>
      </c>
      <c r="G122" s="1"/>
    </row>
    <row r="123">
      <c r="B123" s="1" t="s">
        <v>168</v>
      </c>
      <c r="C123" s="1" t="s">
        <v>574</v>
      </c>
      <c r="D123" s="1" t="s">
        <v>854</v>
      </c>
      <c r="E123" s="1" t="s">
        <v>874</v>
      </c>
      <c r="F123" s="1" t="s">
        <v>47</v>
      </c>
      <c r="G123" s="1"/>
    </row>
    <row r="124">
      <c r="B124" s="1" t="s">
        <v>169</v>
      </c>
      <c r="C124" s="1" t="s">
        <v>575</v>
      </c>
      <c r="D124" s="1" t="s">
        <v>854</v>
      </c>
      <c r="E124" s="1" t="s">
        <v>874</v>
      </c>
      <c r="F124" s="1" t="s">
        <v>47</v>
      </c>
      <c r="G124" s="1"/>
    </row>
    <row r="125">
      <c r="B125" s="1" t="s">
        <v>170</v>
      </c>
      <c r="C125" s="1" t="s">
        <v>576</v>
      </c>
      <c r="D125" s="1" t="s">
        <v>857</v>
      </c>
      <c r="E125" s="1" t="s">
        <v>874</v>
      </c>
      <c r="F125" s="1" t="s">
        <v>47</v>
      </c>
      <c r="G125" s="1"/>
    </row>
    <row r="126">
      <c r="B126" s="1" t="s">
        <v>171</v>
      </c>
      <c r="C126" s="1" t="s">
        <v>577</v>
      </c>
      <c r="D126" s="1" t="s">
        <v>852</v>
      </c>
      <c r="E126" s="1" t="s">
        <v>874</v>
      </c>
      <c r="F126" s="1" t="s">
        <v>47</v>
      </c>
      <c r="G126" s="1"/>
    </row>
    <row r="127">
      <c r="B127" s="1" t="s">
        <v>172</v>
      </c>
      <c r="C127" s="1" t="s">
        <v>578</v>
      </c>
      <c r="D127" s="1" t="s">
        <v>856</v>
      </c>
      <c r="E127" s="1" t="s">
        <v>874</v>
      </c>
      <c r="F127" s="1" t="s">
        <v>48</v>
      </c>
      <c r="G127" s="1"/>
    </row>
    <row r="128">
      <c r="B128" s="1" t="s">
        <v>173</v>
      </c>
      <c r="C128" s="1" t="s">
        <v>579</v>
      </c>
      <c r="D128" s="1" t="s">
        <v>856</v>
      </c>
      <c r="E128" s="1" t="s">
        <v>874</v>
      </c>
      <c r="F128" s="1" t="s">
        <v>48</v>
      </c>
      <c r="G128" s="1"/>
    </row>
    <row r="129">
      <c r="B129" s="1" t="s">
        <v>174</v>
      </c>
      <c r="C129" s="1" t="s">
        <v>580</v>
      </c>
      <c r="D129" s="1" t="s">
        <v>847</v>
      </c>
      <c r="E129" s="1" t="s">
        <v>874</v>
      </c>
      <c r="F129" s="1" t="s">
        <v>48</v>
      </c>
      <c r="G129" s="1"/>
    </row>
    <row r="130">
      <c r="B130" s="1" t="s">
        <v>175</v>
      </c>
      <c r="C130" s="1" t="s">
        <v>581</v>
      </c>
      <c r="D130" s="1" t="s">
        <v>859</v>
      </c>
      <c r="E130" s="1" t="s">
        <v>874</v>
      </c>
      <c r="F130" s="1" t="s">
        <v>47</v>
      </c>
      <c r="G130" s="1"/>
    </row>
    <row r="131">
      <c r="B131" s="1" t="s">
        <v>176</v>
      </c>
      <c r="C131" s="1" t="s">
        <v>582</v>
      </c>
      <c r="D131" s="1" t="s">
        <v>859</v>
      </c>
      <c r="E131" s="1" t="s">
        <v>874</v>
      </c>
      <c r="F131" s="1" t="s">
        <v>48</v>
      </c>
      <c r="G131" s="1"/>
    </row>
    <row r="132">
      <c r="B132" s="1" t="s">
        <v>177</v>
      </c>
      <c r="C132" s="1" t="s">
        <v>583</v>
      </c>
      <c r="D132" s="1" t="s">
        <v>847</v>
      </c>
      <c r="E132" s="1" t="s">
        <v>874</v>
      </c>
      <c r="F132" s="1" t="s">
        <v>47</v>
      </c>
      <c r="G132" s="1"/>
    </row>
    <row r="133">
      <c r="B133" s="1" t="s">
        <v>178</v>
      </c>
      <c r="C133" s="1" t="s">
        <v>584</v>
      </c>
      <c r="D133" s="1" t="s">
        <v>847</v>
      </c>
      <c r="E133" s="1" t="s">
        <v>874</v>
      </c>
      <c r="F133" s="1" t="s">
        <v>47</v>
      </c>
      <c r="G133" s="1"/>
    </row>
    <row r="134">
      <c r="B134" s="1" t="s">
        <v>179</v>
      </c>
      <c r="C134" s="1" t="s">
        <v>585</v>
      </c>
      <c r="D134" s="1" t="s">
        <v>856</v>
      </c>
      <c r="E134" s="1" t="s">
        <v>873</v>
      </c>
      <c r="F134" s="1" t="s">
        <v>48</v>
      </c>
      <c r="G134" s="1"/>
    </row>
    <row r="135">
      <c r="B135" s="1" t="s">
        <v>180</v>
      </c>
      <c r="C135" s="1" t="s">
        <v>586</v>
      </c>
      <c r="D135" s="1" t="s">
        <v>856</v>
      </c>
      <c r="E135" s="1" t="s">
        <v>873</v>
      </c>
      <c r="F135" s="1" t="s">
        <v>47</v>
      </c>
      <c r="G135" s="1"/>
    </row>
    <row r="136">
      <c r="B136" s="1" t="s">
        <v>181</v>
      </c>
      <c r="C136" s="1" t="s">
        <v>587</v>
      </c>
      <c r="D136" s="1" t="s">
        <v>849</v>
      </c>
      <c r="E136" s="1" t="s">
        <v>873</v>
      </c>
      <c r="F136" s="1" t="s">
        <v>47</v>
      </c>
      <c r="G136" s="1"/>
    </row>
    <row r="137">
      <c r="B137" s="1" t="s">
        <v>182</v>
      </c>
      <c r="C137" s="1" t="s">
        <v>588</v>
      </c>
      <c r="D137" s="1" t="s">
        <v>849</v>
      </c>
      <c r="E137" s="1" t="s">
        <v>873</v>
      </c>
      <c r="F137" s="1" t="s">
        <v>48</v>
      </c>
      <c r="G137" s="1"/>
    </row>
    <row r="138">
      <c r="B138" s="1" t="s">
        <v>183</v>
      </c>
      <c r="C138" s="1" t="s">
        <v>589</v>
      </c>
      <c r="D138" s="1" t="s">
        <v>849</v>
      </c>
      <c r="E138" s="1" t="s">
        <v>873</v>
      </c>
      <c r="F138" s="1" t="s">
        <v>47</v>
      </c>
      <c r="G138" s="1"/>
    </row>
    <row r="139">
      <c r="B139" s="1" t="s">
        <v>184</v>
      </c>
      <c r="C139" s="1" t="s">
        <v>590</v>
      </c>
      <c r="D139" s="1" t="s">
        <v>849</v>
      </c>
      <c r="E139" s="1" t="s">
        <v>873</v>
      </c>
      <c r="F139" s="1" t="s">
        <v>48</v>
      </c>
      <c r="G139" s="1"/>
    </row>
    <row r="140">
      <c r="B140" s="1" t="s">
        <v>185</v>
      </c>
      <c r="C140" s="1" t="s">
        <v>591</v>
      </c>
      <c r="D140" s="1" t="s">
        <v>849</v>
      </c>
      <c r="E140" s="1" t="s">
        <v>873</v>
      </c>
      <c r="F140" s="1" t="s">
        <v>48</v>
      </c>
      <c r="G140" s="1"/>
    </row>
    <row r="141">
      <c r="B141" s="1" t="s">
        <v>186</v>
      </c>
      <c r="C141" s="1" t="s">
        <v>592</v>
      </c>
      <c r="D141" s="1" t="s">
        <v>848</v>
      </c>
      <c r="E141" s="1" t="s">
        <v>873</v>
      </c>
      <c r="F141" s="1" t="s">
        <v>47</v>
      </c>
      <c r="G141" s="1"/>
    </row>
    <row r="142">
      <c r="B142" s="1" t="s">
        <v>187</v>
      </c>
      <c r="C142" s="1" t="s">
        <v>593</v>
      </c>
      <c r="D142" s="1" t="s">
        <v>848</v>
      </c>
      <c r="E142" s="1" t="s">
        <v>873</v>
      </c>
      <c r="F142" s="1" t="s">
        <v>48</v>
      </c>
      <c r="G142" s="1"/>
    </row>
    <row r="143">
      <c r="B143" s="1" t="s">
        <v>188</v>
      </c>
      <c r="C143" s="1" t="s">
        <v>594</v>
      </c>
      <c r="D143" s="1" t="s">
        <v>848</v>
      </c>
      <c r="E143" s="1" t="s">
        <v>873</v>
      </c>
      <c r="F143" s="1" t="s">
        <v>48</v>
      </c>
      <c r="G143" s="1"/>
    </row>
    <row r="144">
      <c r="B144" s="1" t="s">
        <v>189</v>
      </c>
      <c r="C144" s="1" t="s">
        <v>595</v>
      </c>
      <c r="D144" s="1" t="s">
        <v>848</v>
      </c>
      <c r="E144" s="1" t="s">
        <v>873</v>
      </c>
      <c r="F144" s="1" t="s">
        <v>48</v>
      </c>
      <c r="G144" s="1"/>
    </row>
    <row r="145">
      <c r="B145" s="1" t="s">
        <v>190</v>
      </c>
      <c r="C145" s="1" t="s">
        <v>596</v>
      </c>
      <c r="D145" s="1" t="s">
        <v>848</v>
      </c>
      <c r="E145" s="1" t="s">
        <v>873</v>
      </c>
      <c r="F145" s="1" t="s">
        <v>48</v>
      </c>
      <c r="G145" s="1"/>
    </row>
    <row r="146">
      <c r="B146" s="1" t="s">
        <v>191</v>
      </c>
      <c r="C146" s="1" t="s">
        <v>597</v>
      </c>
      <c r="D146" s="1" t="s">
        <v>848</v>
      </c>
      <c r="E146" s="1" t="s">
        <v>873</v>
      </c>
      <c r="F146" s="1" t="s">
        <v>48</v>
      </c>
      <c r="G146" s="1"/>
    </row>
    <row r="147">
      <c r="B147" s="1" t="s">
        <v>192</v>
      </c>
      <c r="C147" s="1" t="s">
        <v>598</v>
      </c>
      <c r="D147" s="1" t="s">
        <v>858</v>
      </c>
      <c r="E147" s="1" t="s">
        <v>874</v>
      </c>
      <c r="F147" s="1" t="s">
        <v>47</v>
      </c>
      <c r="G147" s="1"/>
    </row>
    <row r="148">
      <c r="B148" s="1" t="s">
        <v>193</v>
      </c>
      <c r="C148" s="1" t="s">
        <v>599</v>
      </c>
      <c r="D148" s="1" t="s">
        <v>858</v>
      </c>
      <c r="E148" s="1" t="s">
        <v>874</v>
      </c>
      <c r="F148" s="1" t="s">
        <v>47</v>
      </c>
      <c r="G148" s="1"/>
    </row>
    <row r="149">
      <c r="B149" s="1" t="s">
        <v>194</v>
      </c>
      <c r="C149" s="1" t="s">
        <v>600</v>
      </c>
      <c r="D149" s="1" t="s">
        <v>859</v>
      </c>
      <c r="E149" s="1" t="s">
        <v>874</v>
      </c>
      <c r="F149" s="1" t="s">
        <v>47</v>
      </c>
      <c r="G149" s="1"/>
    </row>
    <row r="150">
      <c r="B150" s="1" t="s">
        <v>195</v>
      </c>
      <c r="C150" s="1" t="s">
        <v>601</v>
      </c>
      <c r="D150" s="1" t="s">
        <v>847</v>
      </c>
      <c r="E150" s="1" t="s">
        <v>874</v>
      </c>
      <c r="F150" s="1" t="s">
        <v>47</v>
      </c>
      <c r="G150" s="1"/>
    </row>
    <row r="151">
      <c r="B151" s="1" t="s">
        <v>196</v>
      </c>
      <c r="C151" s="1" t="s">
        <v>602</v>
      </c>
      <c r="D151" s="1" t="s">
        <v>860</v>
      </c>
      <c r="E151" s="1" t="s">
        <v>874</v>
      </c>
      <c r="F151" s="1" t="s">
        <v>48</v>
      </c>
      <c r="G151" s="1"/>
    </row>
    <row r="152">
      <c r="B152" s="1" t="s">
        <v>197</v>
      </c>
      <c r="C152" s="1" t="s">
        <v>603</v>
      </c>
      <c r="D152" s="1" t="s">
        <v>847</v>
      </c>
      <c r="E152" s="1" t="s">
        <v>874</v>
      </c>
      <c r="F152" s="1" t="s">
        <v>47</v>
      </c>
      <c r="G152" s="1"/>
    </row>
    <row r="153">
      <c r="B153" s="1" t="s">
        <v>198</v>
      </c>
      <c r="C153" s="1" t="s">
        <v>604</v>
      </c>
      <c r="D153" s="1" t="s">
        <v>847</v>
      </c>
      <c r="E153" s="1" t="s">
        <v>874</v>
      </c>
      <c r="F153" s="1" t="s">
        <v>47</v>
      </c>
      <c r="G153" s="1"/>
    </row>
    <row r="154">
      <c r="B154" s="1" t="s">
        <v>199</v>
      </c>
      <c r="C154" s="1" t="s">
        <v>605</v>
      </c>
      <c r="D154" s="1" t="s">
        <v>855</v>
      </c>
      <c r="E154" s="1" t="s">
        <v>873</v>
      </c>
      <c r="F154" s="1" t="s">
        <v>47</v>
      </c>
      <c r="G154" s="1"/>
    </row>
    <row r="155">
      <c r="B155" s="1" t="s">
        <v>200</v>
      </c>
      <c r="C155" s="1" t="s">
        <v>606</v>
      </c>
      <c r="D155" s="1" t="s">
        <v>856</v>
      </c>
      <c r="E155" s="1" t="s">
        <v>873</v>
      </c>
      <c r="F155" s="1" t="s">
        <v>48</v>
      </c>
      <c r="G155" s="1"/>
    </row>
    <row r="156">
      <c r="B156" s="1" t="s">
        <v>201</v>
      </c>
      <c r="C156" s="1" t="s">
        <v>607</v>
      </c>
      <c r="D156" s="1" t="s">
        <v>847</v>
      </c>
      <c r="E156" s="1" t="s">
        <v>874</v>
      </c>
      <c r="F156" s="1" t="s">
        <v>47</v>
      </c>
      <c r="G156" s="1"/>
    </row>
    <row r="157">
      <c r="B157" s="1" t="s">
        <v>202</v>
      </c>
      <c r="C157" s="1" t="s">
        <v>608</v>
      </c>
      <c r="D157" s="1" t="s">
        <v>847</v>
      </c>
      <c r="E157" s="1" t="s">
        <v>874</v>
      </c>
      <c r="F157" s="1" t="s">
        <v>48</v>
      </c>
      <c r="G157" s="1"/>
    </row>
    <row r="158">
      <c r="B158" s="1" t="s">
        <v>203</v>
      </c>
      <c r="C158" s="1" t="s">
        <v>609</v>
      </c>
      <c r="D158" s="1" t="s">
        <v>847</v>
      </c>
      <c r="E158" s="1" t="s">
        <v>874</v>
      </c>
      <c r="F158" s="1" t="s">
        <v>47</v>
      </c>
      <c r="G158" s="1"/>
    </row>
    <row r="159">
      <c r="B159" s="1" t="s">
        <v>204</v>
      </c>
      <c r="C159" s="1" t="s">
        <v>610</v>
      </c>
      <c r="D159" s="1" t="s">
        <v>847</v>
      </c>
      <c r="E159" s="1" t="s">
        <v>874</v>
      </c>
      <c r="F159" s="1" t="s">
        <v>47</v>
      </c>
      <c r="G159" s="1"/>
    </row>
    <row r="160">
      <c r="B160" s="1" t="s">
        <v>205</v>
      </c>
      <c r="C160" s="1" t="s">
        <v>611</v>
      </c>
      <c r="D160" s="1" t="s">
        <v>856</v>
      </c>
      <c r="E160" s="1" t="s">
        <v>873</v>
      </c>
      <c r="F160" s="1" t="s">
        <v>48</v>
      </c>
      <c r="G160" s="1"/>
    </row>
    <row r="161">
      <c r="B161" s="1" t="s">
        <v>206</v>
      </c>
      <c r="C161" s="1" t="s">
        <v>612</v>
      </c>
      <c r="D161" s="1" t="s">
        <v>856</v>
      </c>
      <c r="E161" s="1" t="s">
        <v>873</v>
      </c>
      <c r="F161" s="1" t="s">
        <v>48</v>
      </c>
      <c r="G161" s="1"/>
    </row>
    <row r="162">
      <c r="B162" s="1" t="s">
        <v>207</v>
      </c>
      <c r="C162" s="1" t="s">
        <v>613</v>
      </c>
      <c r="D162" s="1" t="s">
        <v>856</v>
      </c>
      <c r="E162" s="1" t="s">
        <v>873</v>
      </c>
      <c r="F162" s="1" t="s">
        <v>47</v>
      </c>
      <c r="G162" s="1"/>
    </row>
    <row r="163">
      <c r="B163" s="1" t="s">
        <v>208</v>
      </c>
      <c r="C163" s="1" t="s">
        <v>614</v>
      </c>
      <c r="D163" s="1" t="s">
        <v>856</v>
      </c>
      <c r="E163" s="1" t="s">
        <v>873</v>
      </c>
      <c r="F163" s="1" t="s">
        <v>47</v>
      </c>
      <c r="G163" s="1"/>
    </row>
    <row r="164">
      <c r="B164" s="1" t="s">
        <v>209</v>
      </c>
      <c r="C164" s="1" t="s">
        <v>615</v>
      </c>
      <c r="D164" s="1" t="s">
        <v>856</v>
      </c>
      <c r="E164" s="1" t="s">
        <v>873</v>
      </c>
      <c r="F164" s="1" t="s">
        <v>48</v>
      </c>
      <c r="G164" s="1"/>
    </row>
    <row r="165">
      <c r="B165" s="1" t="s">
        <v>210</v>
      </c>
      <c r="C165" s="1" t="s">
        <v>616</v>
      </c>
      <c r="D165" s="1" t="s">
        <v>856</v>
      </c>
      <c r="E165" s="1" t="s">
        <v>873</v>
      </c>
      <c r="F165" s="1" t="s">
        <v>48</v>
      </c>
      <c r="G165" s="1"/>
    </row>
    <row r="166">
      <c r="B166" s="1" t="s">
        <v>211</v>
      </c>
      <c r="C166" s="1" t="s">
        <v>617</v>
      </c>
      <c r="D166" s="1" t="s">
        <v>856</v>
      </c>
      <c r="E166" s="1" t="s">
        <v>873</v>
      </c>
      <c r="F166" s="1" t="s">
        <v>48</v>
      </c>
      <c r="G166" s="1"/>
    </row>
    <row r="167">
      <c r="B167" s="1" t="s">
        <v>212</v>
      </c>
      <c r="C167" s="1" t="s">
        <v>618</v>
      </c>
      <c r="D167" s="1" t="s">
        <v>856</v>
      </c>
      <c r="E167" s="1" t="s">
        <v>873</v>
      </c>
      <c r="F167" s="1" t="s">
        <v>47</v>
      </c>
      <c r="G167" s="1"/>
    </row>
    <row r="168">
      <c r="B168" s="1" t="s">
        <v>213</v>
      </c>
      <c r="C168" s="1" t="s">
        <v>619</v>
      </c>
      <c r="D168" s="1" t="s">
        <v>856</v>
      </c>
      <c r="E168" s="1" t="s">
        <v>873</v>
      </c>
      <c r="F168" s="1" t="s">
        <v>48</v>
      </c>
      <c r="G168" s="1"/>
    </row>
    <row r="169">
      <c r="B169" s="1" t="s">
        <v>214</v>
      </c>
      <c r="C169" s="1" t="s">
        <v>620</v>
      </c>
      <c r="D169" s="1" t="s">
        <v>856</v>
      </c>
      <c r="E169" s="1" t="s">
        <v>873</v>
      </c>
      <c r="F169" s="1" t="s">
        <v>48</v>
      </c>
      <c r="G169" s="1"/>
    </row>
    <row r="170">
      <c r="B170" s="1" t="s">
        <v>215</v>
      </c>
      <c r="C170" s="1" t="s">
        <v>621</v>
      </c>
      <c r="D170" s="1" t="s">
        <v>858</v>
      </c>
      <c r="E170" s="1" t="s">
        <v>873</v>
      </c>
      <c r="F170" s="1" t="s">
        <v>48</v>
      </c>
      <c r="G170" s="1"/>
    </row>
    <row r="171">
      <c r="B171" s="1" t="s">
        <v>216</v>
      </c>
      <c r="C171" s="1" t="s">
        <v>622</v>
      </c>
      <c r="D171" s="1" t="s">
        <v>856</v>
      </c>
      <c r="E171" s="1" t="s">
        <v>873</v>
      </c>
      <c r="F171" s="1" t="s">
        <v>48</v>
      </c>
      <c r="G171" s="1"/>
    </row>
    <row r="172">
      <c r="B172" s="1" t="s">
        <v>217</v>
      </c>
      <c r="C172" s="1" t="s">
        <v>536</v>
      </c>
      <c r="D172" s="1" t="s">
        <v>852</v>
      </c>
      <c r="E172" s="1" t="s">
        <v>874</v>
      </c>
      <c r="F172" s="1" t="s">
        <v>47</v>
      </c>
      <c r="G172" s="1"/>
    </row>
    <row r="173">
      <c r="B173" s="1" t="s">
        <v>218</v>
      </c>
      <c r="C173" s="1" t="s">
        <v>538</v>
      </c>
      <c r="D173" s="1" t="s">
        <v>852</v>
      </c>
      <c r="E173" s="1" t="s">
        <v>874</v>
      </c>
      <c r="F173" s="1" t="s">
        <v>47</v>
      </c>
      <c r="G173" s="1"/>
    </row>
    <row r="174">
      <c r="B174" s="1" t="s">
        <v>219</v>
      </c>
      <c r="C174" s="1" t="s">
        <v>623</v>
      </c>
      <c r="D174" s="1" t="s">
        <v>857</v>
      </c>
      <c r="E174" s="1" t="s">
        <v>874</v>
      </c>
      <c r="F174" s="1" t="s">
        <v>47</v>
      </c>
      <c r="G174" s="1"/>
    </row>
    <row r="175">
      <c r="B175" s="1" t="s">
        <v>220</v>
      </c>
      <c r="C175" s="1" t="s">
        <v>624</v>
      </c>
      <c r="D175" s="1" t="s">
        <v>857</v>
      </c>
      <c r="E175" s="1" t="s">
        <v>875</v>
      </c>
      <c r="F175" s="1" t="s">
        <v>47</v>
      </c>
      <c r="G175" s="1"/>
    </row>
    <row r="176">
      <c r="B176" s="1" t="s">
        <v>221</v>
      </c>
      <c r="C176" s="1" t="s">
        <v>541</v>
      </c>
      <c r="D176" s="1" t="s">
        <v>852</v>
      </c>
      <c r="E176" s="1" t="s">
        <v>874</v>
      </c>
      <c r="F176" s="1" t="s">
        <v>47</v>
      </c>
      <c r="G176" s="1"/>
    </row>
    <row r="177">
      <c r="B177" s="1" t="s">
        <v>222</v>
      </c>
      <c r="C177" s="1" t="s">
        <v>625</v>
      </c>
      <c r="D177" s="1" t="s">
        <v>855</v>
      </c>
      <c r="E177" s="1" t="s">
        <v>874</v>
      </c>
      <c r="F177" s="1" t="s">
        <v>47</v>
      </c>
      <c r="G177" s="1"/>
    </row>
    <row r="178">
      <c r="B178" s="1" t="s">
        <v>223</v>
      </c>
      <c r="C178" s="1" t="s">
        <v>626</v>
      </c>
      <c r="D178" s="1" t="s">
        <v>850</v>
      </c>
      <c r="E178" s="1" t="s">
        <v>874</v>
      </c>
      <c r="F178" s="1" t="s">
        <v>48</v>
      </c>
      <c r="G178" s="1"/>
    </row>
    <row r="179">
      <c r="B179" s="1" t="s">
        <v>224</v>
      </c>
      <c r="C179" s="1" t="s">
        <v>627</v>
      </c>
      <c r="D179" s="1" t="s">
        <v>850</v>
      </c>
      <c r="E179" s="1" t="s">
        <v>874</v>
      </c>
      <c r="F179" s="1" t="s">
        <v>47</v>
      </c>
      <c r="G179" s="1"/>
    </row>
    <row r="180">
      <c r="B180" s="1" t="s">
        <v>225</v>
      </c>
      <c r="C180" s="1" t="s">
        <v>628</v>
      </c>
      <c r="D180" s="1" t="s">
        <v>859</v>
      </c>
      <c r="E180" s="1" t="s">
        <v>874</v>
      </c>
      <c r="F180" s="1" t="s">
        <v>48</v>
      </c>
      <c r="G180" s="1"/>
    </row>
    <row r="181">
      <c r="B181" s="1" t="s">
        <v>226</v>
      </c>
      <c r="C181" s="1" t="s">
        <v>629</v>
      </c>
      <c r="D181" s="1" t="s">
        <v>854</v>
      </c>
      <c r="E181" s="1" t="s">
        <v>874</v>
      </c>
      <c r="F181" s="1" t="s">
        <v>47</v>
      </c>
      <c r="G181" s="1"/>
    </row>
    <row r="182">
      <c r="B182" s="1" t="s">
        <v>227</v>
      </c>
      <c r="C182" s="1" t="s">
        <v>630</v>
      </c>
      <c r="D182" s="1" t="s">
        <v>854</v>
      </c>
      <c r="E182" s="1" t="s">
        <v>874</v>
      </c>
      <c r="F182" s="1" t="s">
        <v>48</v>
      </c>
      <c r="G182" s="1"/>
    </row>
    <row r="183">
      <c r="B183" s="1" t="s">
        <v>228</v>
      </c>
      <c r="C183" s="1" t="s">
        <v>631</v>
      </c>
      <c r="D183" s="1" t="s">
        <v>854</v>
      </c>
      <c r="E183" s="1" t="s">
        <v>874</v>
      </c>
      <c r="F183" s="1" t="s">
        <v>48</v>
      </c>
      <c r="G183" s="1"/>
    </row>
    <row r="184">
      <c r="B184" s="1" t="s">
        <v>229</v>
      </c>
      <c r="C184" s="1" t="s">
        <v>632</v>
      </c>
      <c r="D184" s="1" t="s">
        <v>856</v>
      </c>
      <c r="E184" s="1" t="s">
        <v>874</v>
      </c>
      <c r="F184" s="1" t="s">
        <v>47</v>
      </c>
      <c r="G184" s="1"/>
    </row>
    <row r="185">
      <c r="B185" s="1" t="s">
        <v>230</v>
      </c>
      <c r="C185" s="1" t="s">
        <v>633</v>
      </c>
      <c r="D185" s="1" t="s">
        <v>854</v>
      </c>
      <c r="E185" s="1" t="s">
        <v>874</v>
      </c>
      <c r="F185" s="1" t="s">
        <v>47</v>
      </c>
      <c r="G185" s="1"/>
    </row>
    <row r="186">
      <c r="B186" s="1" t="s">
        <v>231</v>
      </c>
      <c r="C186" s="1" t="s">
        <v>634</v>
      </c>
      <c r="D186" s="1" t="s">
        <v>857</v>
      </c>
      <c r="E186" s="1" t="s">
        <v>874</v>
      </c>
      <c r="F186" s="1" t="s">
        <v>48</v>
      </c>
      <c r="G186" s="1"/>
    </row>
    <row r="187">
      <c r="B187" s="1" t="s">
        <v>232</v>
      </c>
      <c r="C187" s="1" t="s">
        <v>553</v>
      </c>
      <c r="D187" s="1" t="s">
        <v>858</v>
      </c>
      <c r="E187" s="1" t="s">
        <v>874</v>
      </c>
      <c r="F187" s="1" t="s">
        <v>47</v>
      </c>
      <c r="G187" s="1"/>
    </row>
    <row r="188">
      <c r="B188" s="1" t="s">
        <v>233</v>
      </c>
      <c r="C188" s="1" t="s">
        <v>635</v>
      </c>
      <c r="D188" s="1" t="s">
        <v>858</v>
      </c>
      <c r="E188" s="1" t="s">
        <v>874</v>
      </c>
      <c r="F188" s="1" t="s">
        <v>47</v>
      </c>
      <c r="G188" s="1"/>
    </row>
    <row r="189">
      <c r="B189" s="1" t="s">
        <v>234</v>
      </c>
      <c r="C189" s="1" t="s">
        <v>636</v>
      </c>
      <c r="D189" s="1" t="s">
        <v>858</v>
      </c>
      <c r="E189" s="1" t="s">
        <v>874</v>
      </c>
      <c r="F189" s="1" t="s">
        <v>47</v>
      </c>
      <c r="G189" s="1"/>
    </row>
    <row r="190">
      <c r="B190" s="1" t="s">
        <v>235</v>
      </c>
      <c r="C190" s="1" t="s">
        <v>637</v>
      </c>
      <c r="D190" s="1" t="s">
        <v>858</v>
      </c>
      <c r="E190" s="1" t="s">
        <v>874</v>
      </c>
      <c r="F190" s="1" t="s">
        <v>47</v>
      </c>
      <c r="G190" s="1"/>
    </row>
    <row r="191">
      <c r="B191" s="1" t="s">
        <v>236</v>
      </c>
      <c r="C191" s="1" t="s">
        <v>638</v>
      </c>
      <c r="D191" s="1" t="s">
        <v>858</v>
      </c>
      <c r="E191" s="1" t="s">
        <v>874</v>
      </c>
      <c r="F191" s="1" t="s">
        <v>48</v>
      </c>
      <c r="G191" s="1"/>
    </row>
    <row r="192">
      <c r="B192" s="1" t="s">
        <v>237</v>
      </c>
      <c r="C192" s="1" t="s">
        <v>639</v>
      </c>
      <c r="D192" s="1" t="s">
        <v>858</v>
      </c>
      <c r="E192" s="1" t="s">
        <v>874</v>
      </c>
      <c r="F192" s="1" t="s">
        <v>48</v>
      </c>
      <c r="G192" s="1"/>
    </row>
    <row r="193">
      <c r="B193" s="1" t="s">
        <v>238</v>
      </c>
      <c r="C193" s="1" t="s">
        <v>640</v>
      </c>
      <c r="D193" s="1" t="s">
        <v>858</v>
      </c>
      <c r="E193" s="1" t="s">
        <v>874</v>
      </c>
      <c r="F193" s="1" t="s">
        <v>47</v>
      </c>
      <c r="G193" s="1"/>
    </row>
    <row r="194">
      <c r="B194" s="1" t="s">
        <v>239</v>
      </c>
      <c r="C194" s="1" t="s">
        <v>641</v>
      </c>
      <c r="D194" s="1" t="s">
        <v>847</v>
      </c>
      <c r="E194" s="1" t="s">
        <v>874</v>
      </c>
      <c r="F194" s="1" t="s">
        <v>48</v>
      </c>
      <c r="G194" s="1"/>
    </row>
    <row r="195">
      <c r="B195" s="1" t="s">
        <v>240</v>
      </c>
      <c r="C195" s="1" t="s">
        <v>642</v>
      </c>
      <c r="D195" s="1" t="s">
        <v>854</v>
      </c>
      <c r="E195" s="1" t="s">
        <v>874</v>
      </c>
      <c r="F195" s="1" t="s">
        <v>47</v>
      </c>
      <c r="G195" s="1"/>
    </row>
    <row r="196">
      <c r="B196" s="1" t="s">
        <v>241</v>
      </c>
      <c r="C196" s="1" t="s">
        <v>643</v>
      </c>
      <c r="D196" s="1" t="s">
        <v>859</v>
      </c>
      <c r="E196" s="1" t="s">
        <v>874</v>
      </c>
      <c r="F196" s="1" t="s">
        <v>48</v>
      </c>
      <c r="G196" s="1"/>
    </row>
    <row r="197">
      <c r="B197" s="1" t="s">
        <v>242</v>
      </c>
      <c r="C197" s="1" t="s">
        <v>644</v>
      </c>
      <c r="D197" s="1" t="s">
        <v>859</v>
      </c>
      <c r="E197" s="1" t="s">
        <v>874</v>
      </c>
      <c r="F197" s="1" t="s">
        <v>48</v>
      </c>
      <c r="G197" s="1"/>
    </row>
    <row r="198">
      <c r="B198" s="1" t="s">
        <v>243</v>
      </c>
      <c r="C198" s="1" t="s">
        <v>645</v>
      </c>
      <c r="D198" s="1" t="s">
        <v>854</v>
      </c>
      <c r="E198" s="1" t="s">
        <v>874</v>
      </c>
      <c r="F198" s="1" t="s">
        <v>48</v>
      </c>
      <c r="G198" s="1"/>
    </row>
    <row r="199">
      <c r="B199" s="1" t="s">
        <v>244</v>
      </c>
      <c r="C199" s="1" t="s">
        <v>646</v>
      </c>
      <c r="D199" s="1" t="s">
        <v>852</v>
      </c>
      <c r="E199" s="1" t="s">
        <v>874</v>
      </c>
      <c r="F199" s="1" t="s">
        <v>47</v>
      </c>
      <c r="G199" s="1"/>
    </row>
    <row r="200">
      <c r="B200" s="1" t="s">
        <v>245</v>
      </c>
      <c r="C200" s="1" t="s">
        <v>647</v>
      </c>
      <c r="D200" s="1" t="s">
        <v>847</v>
      </c>
      <c r="E200" s="1" t="s">
        <v>873</v>
      </c>
      <c r="F200" s="1" t="s">
        <v>47</v>
      </c>
      <c r="G200" s="1"/>
    </row>
    <row r="201">
      <c r="B201" s="1" t="s">
        <v>246</v>
      </c>
      <c r="C201" s="1" t="s">
        <v>648</v>
      </c>
      <c r="D201" s="1" t="s">
        <v>854</v>
      </c>
      <c r="E201" s="1" t="s">
        <v>874</v>
      </c>
      <c r="F201" s="1" t="s">
        <v>48</v>
      </c>
      <c r="G201" s="1"/>
    </row>
    <row r="202">
      <c r="B202" s="1" t="s">
        <v>247</v>
      </c>
      <c r="C202" s="1" t="s">
        <v>649</v>
      </c>
      <c r="D202" s="1" t="s">
        <v>859</v>
      </c>
      <c r="E202" s="1" t="s">
        <v>874</v>
      </c>
      <c r="F202" s="1" t="s">
        <v>47</v>
      </c>
      <c r="G202" s="1"/>
    </row>
    <row r="203">
      <c r="B203" s="1" t="s">
        <v>248</v>
      </c>
      <c r="C203" s="1" t="s">
        <v>650</v>
      </c>
      <c r="D203" s="1" t="s">
        <v>859</v>
      </c>
      <c r="E203" s="1" t="s">
        <v>874</v>
      </c>
      <c r="F203" s="1" t="s">
        <v>47</v>
      </c>
      <c r="G203" s="1"/>
    </row>
    <row r="204">
      <c r="B204" s="1" t="s">
        <v>249</v>
      </c>
      <c r="C204" s="1" t="s">
        <v>651</v>
      </c>
      <c r="D204" s="1" t="s">
        <v>859</v>
      </c>
      <c r="E204" s="1" t="s">
        <v>874</v>
      </c>
      <c r="F204" s="1" t="s">
        <v>47</v>
      </c>
      <c r="G204" s="1"/>
    </row>
    <row r="205">
      <c r="B205" s="1" t="s">
        <v>250</v>
      </c>
      <c r="C205" s="1" t="s">
        <v>652</v>
      </c>
      <c r="D205" s="1" t="s">
        <v>859</v>
      </c>
      <c r="E205" s="1" t="s">
        <v>874</v>
      </c>
      <c r="F205" s="1" t="s">
        <v>47</v>
      </c>
      <c r="G205" s="1"/>
    </row>
    <row r="206">
      <c r="B206" s="1" t="s">
        <v>251</v>
      </c>
      <c r="C206" s="1" t="s">
        <v>653</v>
      </c>
      <c r="D206" s="1" t="s">
        <v>859</v>
      </c>
      <c r="E206" s="1" t="s">
        <v>874</v>
      </c>
      <c r="F206" s="1" t="s">
        <v>47</v>
      </c>
      <c r="G206" s="1"/>
    </row>
    <row r="207">
      <c r="B207" s="1" t="s">
        <v>252</v>
      </c>
      <c r="C207" s="1" t="s">
        <v>654</v>
      </c>
      <c r="D207" s="1" t="s">
        <v>859</v>
      </c>
      <c r="E207" s="1" t="s">
        <v>874</v>
      </c>
      <c r="F207" s="1" t="s">
        <v>47</v>
      </c>
      <c r="G207" s="1"/>
    </row>
    <row r="208">
      <c r="B208" s="1" t="s">
        <v>253</v>
      </c>
      <c r="C208" s="1" t="s">
        <v>655</v>
      </c>
      <c r="D208" s="1" t="s">
        <v>859</v>
      </c>
      <c r="E208" s="1" t="s">
        <v>874</v>
      </c>
      <c r="F208" s="1" t="s">
        <v>47</v>
      </c>
      <c r="G208" s="1"/>
    </row>
    <row r="209">
      <c r="B209" s="1" t="s">
        <v>254</v>
      </c>
      <c r="C209" s="1" t="s">
        <v>656</v>
      </c>
      <c r="D209" s="1" t="s">
        <v>859</v>
      </c>
      <c r="E209" s="1" t="s">
        <v>874</v>
      </c>
      <c r="F209" s="1" t="s">
        <v>47</v>
      </c>
      <c r="G209" s="1"/>
    </row>
    <row r="210">
      <c r="B210" s="1" t="s">
        <v>255</v>
      </c>
      <c r="C210" s="1" t="s">
        <v>657</v>
      </c>
      <c r="D210" s="1" t="s">
        <v>859</v>
      </c>
      <c r="E210" s="1" t="s">
        <v>874</v>
      </c>
      <c r="F210" s="1" t="s">
        <v>47</v>
      </c>
      <c r="G210" s="1"/>
    </row>
    <row r="211">
      <c r="B211" s="1" t="s">
        <v>256</v>
      </c>
      <c r="C211" s="1" t="s">
        <v>658</v>
      </c>
      <c r="D211" s="1" t="s">
        <v>859</v>
      </c>
      <c r="E211" s="1" t="s">
        <v>874</v>
      </c>
      <c r="F211" s="1" t="s">
        <v>47</v>
      </c>
      <c r="G211" s="1"/>
    </row>
    <row r="212">
      <c r="B212" s="1" t="s">
        <v>257</v>
      </c>
      <c r="C212" s="1" t="s">
        <v>659</v>
      </c>
      <c r="D212" s="1" t="s">
        <v>859</v>
      </c>
      <c r="E212" s="1" t="s">
        <v>874</v>
      </c>
      <c r="F212" s="1" t="s">
        <v>47</v>
      </c>
      <c r="G212" s="1"/>
    </row>
    <row r="213">
      <c r="B213" s="1" t="s">
        <v>258</v>
      </c>
      <c r="C213" s="1" t="s">
        <v>660</v>
      </c>
      <c r="D213" s="1" t="s">
        <v>859</v>
      </c>
      <c r="E213" s="1" t="s">
        <v>874</v>
      </c>
      <c r="F213" s="1" t="s">
        <v>47</v>
      </c>
      <c r="G213" s="1"/>
    </row>
    <row r="214">
      <c r="B214" s="1" t="s">
        <v>259</v>
      </c>
      <c r="C214" s="1" t="s">
        <v>661</v>
      </c>
      <c r="D214" s="1" t="s">
        <v>859</v>
      </c>
      <c r="E214" s="1" t="s">
        <v>874</v>
      </c>
      <c r="F214" s="1" t="s">
        <v>47</v>
      </c>
      <c r="G214" s="1"/>
    </row>
    <row r="215">
      <c r="B215" s="1" t="s">
        <v>260</v>
      </c>
      <c r="C215" s="1" t="s">
        <v>662</v>
      </c>
      <c r="D215" s="1" t="s">
        <v>854</v>
      </c>
      <c r="E215" s="1" t="s">
        <v>874</v>
      </c>
      <c r="F215" s="1" t="s">
        <v>47</v>
      </c>
      <c r="G215" s="1"/>
    </row>
    <row r="216">
      <c r="B216" s="1" t="s">
        <v>261</v>
      </c>
      <c r="C216" s="1" t="s">
        <v>663</v>
      </c>
      <c r="D216" s="1" t="s">
        <v>854</v>
      </c>
      <c r="E216" s="1" t="s">
        <v>874</v>
      </c>
      <c r="F216" s="1" t="s">
        <v>48</v>
      </c>
      <c r="G216" s="1"/>
    </row>
    <row r="217">
      <c r="B217" s="1" t="s">
        <v>262</v>
      </c>
      <c r="C217" s="1" t="s">
        <v>664</v>
      </c>
      <c r="D217" s="1" t="s">
        <v>859</v>
      </c>
      <c r="E217" s="1" t="s">
        <v>874</v>
      </c>
      <c r="F217" s="1" t="s">
        <v>47</v>
      </c>
      <c r="G217" s="1"/>
    </row>
    <row r="218">
      <c r="B218" s="1" t="s">
        <v>263</v>
      </c>
      <c r="C218" s="1" t="s">
        <v>665</v>
      </c>
      <c r="D218" s="1" t="s">
        <v>854</v>
      </c>
      <c r="E218" s="1" t="s">
        <v>874</v>
      </c>
      <c r="F218" s="1" t="s">
        <v>48</v>
      </c>
      <c r="G218" s="1"/>
    </row>
    <row r="219">
      <c r="B219" s="1" t="s">
        <v>264</v>
      </c>
      <c r="C219" s="1" t="s">
        <v>666</v>
      </c>
      <c r="D219" s="1" t="s">
        <v>854</v>
      </c>
      <c r="E219" s="1" t="s">
        <v>874</v>
      </c>
      <c r="F219" s="1" t="s">
        <v>47</v>
      </c>
      <c r="G219" s="1"/>
    </row>
    <row r="220">
      <c r="B220" s="1" t="s">
        <v>265</v>
      </c>
      <c r="C220" s="1" t="s">
        <v>667</v>
      </c>
      <c r="D220" s="1" t="s">
        <v>854</v>
      </c>
      <c r="E220" s="1" t="s">
        <v>874</v>
      </c>
      <c r="F220" s="1" t="s">
        <v>47</v>
      </c>
      <c r="G220" s="1"/>
    </row>
    <row r="221">
      <c r="B221" s="1" t="s">
        <v>266</v>
      </c>
      <c r="C221" s="1" t="s">
        <v>668</v>
      </c>
      <c r="D221" s="1" t="s">
        <v>854</v>
      </c>
      <c r="E221" s="1" t="s">
        <v>874</v>
      </c>
      <c r="F221" s="1" t="s">
        <v>47</v>
      </c>
      <c r="G221" s="1"/>
    </row>
    <row r="222">
      <c r="B222" s="1" t="s">
        <v>267</v>
      </c>
      <c r="C222" s="1" t="s">
        <v>669</v>
      </c>
      <c r="D222" s="1" t="s">
        <v>854</v>
      </c>
      <c r="E222" s="1" t="s">
        <v>874</v>
      </c>
      <c r="F222" s="1" t="s">
        <v>47</v>
      </c>
      <c r="G222" s="1"/>
    </row>
    <row r="223">
      <c r="B223" s="1" t="s">
        <v>268</v>
      </c>
      <c r="C223" s="1" t="s">
        <v>670</v>
      </c>
      <c r="D223" s="1" t="s">
        <v>854</v>
      </c>
      <c r="E223" s="1" t="s">
        <v>874</v>
      </c>
      <c r="F223" s="1" t="s">
        <v>47</v>
      </c>
      <c r="G223" s="1"/>
    </row>
    <row r="224">
      <c r="B224" s="1" t="s">
        <v>269</v>
      </c>
      <c r="C224" s="1" t="s">
        <v>671</v>
      </c>
      <c r="D224" s="1" t="s">
        <v>847</v>
      </c>
      <c r="E224" s="1" t="s">
        <v>874</v>
      </c>
      <c r="F224" s="1" t="s">
        <v>47</v>
      </c>
      <c r="G224" s="1"/>
    </row>
    <row r="225">
      <c r="B225" s="1" t="s">
        <v>270</v>
      </c>
      <c r="C225" s="1" t="s">
        <v>672</v>
      </c>
      <c r="D225" s="1" t="s">
        <v>854</v>
      </c>
      <c r="E225" s="1" t="s">
        <v>874</v>
      </c>
      <c r="F225" s="1" t="s">
        <v>47</v>
      </c>
      <c r="G225" s="1"/>
    </row>
    <row r="226">
      <c r="B226" s="1" t="s">
        <v>271</v>
      </c>
      <c r="C226" s="1" t="s">
        <v>673</v>
      </c>
      <c r="D226" s="1" t="s">
        <v>847</v>
      </c>
      <c r="E226" s="1" t="s">
        <v>874</v>
      </c>
      <c r="F226" s="1" t="s">
        <v>47</v>
      </c>
      <c r="G226" s="1"/>
    </row>
    <row r="227">
      <c r="B227" s="1" t="s">
        <v>272</v>
      </c>
      <c r="C227" s="1" t="s">
        <v>674</v>
      </c>
      <c r="D227" s="1" t="s">
        <v>851</v>
      </c>
      <c r="E227" s="1" t="s">
        <v>874</v>
      </c>
      <c r="F227" s="1" t="s">
        <v>47</v>
      </c>
      <c r="G227" s="1"/>
    </row>
    <row r="228">
      <c r="B228" s="1" t="s">
        <v>273</v>
      </c>
      <c r="C228" s="1" t="s">
        <v>675</v>
      </c>
      <c r="D228" s="1" t="s">
        <v>847</v>
      </c>
      <c r="E228" s="1" t="s">
        <v>874</v>
      </c>
      <c r="F228" s="1" t="s">
        <v>47</v>
      </c>
      <c r="G228" s="1"/>
    </row>
    <row r="229">
      <c r="B229" s="1" t="s">
        <v>274</v>
      </c>
      <c r="C229" s="1" t="s">
        <v>676</v>
      </c>
      <c r="D229" s="1" t="s">
        <v>847</v>
      </c>
      <c r="E229" s="1" t="s">
        <v>874</v>
      </c>
      <c r="F229" s="1" t="s">
        <v>47</v>
      </c>
      <c r="G229" s="1"/>
    </row>
    <row r="230">
      <c r="B230" s="1" t="s">
        <v>275</v>
      </c>
      <c r="C230" s="1" t="s">
        <v>677</v>
      </c>
      <c r="D230" s="1" t="s">
        <v>847</v>
      </c>
      <c r="E230" s="1" t="s">
        <v>874</v>
      </c>
      <c r="F230" s="1" t="s">
        <v>47</v>
      </c>
      <c r="G230" s="1"/>
    </row>
    <row r="231">
      <c r="B231" s="1" t="s">
        <v>276</v>
      </c>
      <c r="C231" s="1" t="s">
        <v>678</v>
      </c>
      <c r="D231" s="1" t="s">
        <v>849</v>
      </c>
      <c r="E231" s="1" t="s">
        <v>874</v>
      </c>
      <c r="F231" s="1" t="s">
        <v>47</v>
      </c>
      <c r="G231" s="1"/>
    </row>
    <row r="232">
      <c r="B232" s="1" t="s">
        <v>277</v>
      </c>
      <c r="C232" s="1" t="s">
        <v>679</v>
      </c>
      <c r="D232" s="1" t="s">
        <v>857</v>
      </c>
      <c r="E232" s="1" t="s">
        <v>874</v>
      </c>
      <c r="F232" s="1" t="s">
        <v>47</v>
      </c>
      <c r="G232" s="1"/>
    </row>
    <row r="233">
      <c r="B233" s="1" t="s">
        <v>278</v>
      </c>
      <c r="C233" s="1" t="s">
        <v>680</v>
      </c>
      <c r="D233" s="1" t="s">
        <v>857</v>
      </c>
      <c r="E233" s="1" t="s">
        <v>873</v>
      </c>
      <c r="F233" s="1" t="s">
        <v>47</v>
      </c>
      <c r="G233" s="1"/>
    </row>
    <row r="234">
      <c r="B234" s="1" t="s">
        <v>279</v>
      </c>
      <c r="C234" s="1" t="s">
        <v>681</v>
      </c>
      <c r="D234" s="1" t="s">
        <v>857</v>
      </c>
      <c r="E234" s="1" t="s">
        <v>874</v>
      </c>
      <c r="F234" s="1" t="s">
        <v>47</v>
      </c>
      <c r="G234" s="1"/>
    </row>
    <row r="235">
      <c r="B235" s="1" t="s">
        <v>280</v>
      </c>
      <c r="C235" s="1" t="s">
        <v>682</v>
      </c>
      <c r="D235" s="1" t="s">
        <v>857</v>
      </c>
      <c r="E235" s="1" t="s">
        <v>874</v>
      </c>
      <c r="F235" s="1" t="s">
        <v>47</v>
      </c>
      <c r="G235" s="1"/>
    </row>
    <row r="236">
      <c r="B236" s="1" t="s">
        <v>281</v>
      </c>
      <c r="C236" s="1" t="s">
        <v>683</v>
      </c>
      <c r="D236" s="1" t="s">
        <v>857</v>
      </c>
      <c r="E236" s="1" t="s">
        <v>874</v>
      </c>
      <c r="F236" s="1" t="s">
        <v>47</v>
      </c>
      <c r="G236" s="1"/>
    </row>
    <row r="237">
      <c r="B237" s="1" t="s">
        <v>282</v>
      </c>
      <c r="C237" s="1" t="s">
        <v>684</v>
      </c>
      <c r="D237" s="1" t="s">
        <v>857</v>
      </c>
      <c r="E237" s="1" t="s">
        <v>874</v>
      </c>
      <c r="F237" s="1" t="s">
        <v>47</v>
      </c>
      <c r="G237" s="1"/>
    </row>
    <row r="238">
      <c r="B238" s="1" t="s">
        <v>283</v>
      </c>
      <c r="C238" s="1" t="s">
        <v>685</v>
      </c>
      <c r="D238" s="1" t="s">
        <v>857</v>
      </c>
      <c r="E238" s="1" t="s">
        <v>874</v>
      </c>
      <c r="F238" s="1" t="s">
        <v>47</v>
      </c>
      <c r="G238" s="1"/>
    </row>
    <row r="239">
      <c r="B239" s="1" t="s">
        <v>284</v>
      </c>
      <c r="C239" s="1" t="s">
        <v>686</v>
      </c>
      <c r="D239" s="1" t="s">
        <v>857</v>
      </c>
      <c r="E239" s="1" t="s">
        <v>874</v>
      </c>
      <c r="F239" s="1" t="s">
        <v>48</v>
      </c>
      <c r="G239" s="1"/>
    </row>
    <row r="240">
      <c r="B240" s="1" t="s">
        <v>285</v>
      </c>
      <c r="C240" s="1" t="s">
        <v>687</v>
      </c>
      <c r="D240" s="1" t="s">
        <v>857</v>
      </c>
      <c r="E240" s="1" t="s">
        <v>874</v>
      </c>
      <c r="F240" s="1" t="s">
        <v>47</v>
      </c>
      <c r="G240" s="1"/>
    </row>
    <row r="241">
      <c r="B241" s="1" t="s">
        <v>286</v>
      </c>
      <c r="C241" s="1" t="s">
        <v>688</v>
      </c>
      <c r="D241" s="1" t="s">
        <v>851</v>
      </c>
      <c r="E241" s="1" t="s">
        <v>874</v>
      </c>
      <c r="F241" s="1" t="s">
        <v>47</v>
      </c>
      <c r="G241" s="1"/>
    </row>
    <row r="242">
      <c r="B242" s="1" t="s">
        <v>287</v>
      </c>
      <c r="C242" s="1" t="s">
        <v>689</v>
      </c>
      <c r="D242" s="1" t="s">
        <v>858</v>
      </c>
      <c r="E242" s="1" t="s">
        <v>874</v>
      </c>
      <c r="F242" s="1" t="s">
        <v>47</v>
      </c>
      <c r="G242" s="1"/>
    </row>
    <row r="243">
      <c r="B243" s="1" t="s">
        <v>288</v>
      </c>
      <c r="C243" s="1" t="s">
        <v>690</v>
      </c>
      <c r="D243" s="1" t="s">
        <v>858</v>
      </c>
      <c r="E243" s="1" t="s">
        <v>874</v>
      </c>
      <c r="F243" s="1" t="s">
        <v>47</v>
      </c>
      <c r="G243" s="1"/>
    </row>
    <row r="244">
      <c r="B244" s="1" t="s">
        <v>289</v>
      </c>
      <c r="C244" s="1" t="s">
        <v>691</v>
      </c>
      <c r="D244" s="1" t="s">
        <v>858</v>
      </c>
      <c r="E244" s="1" t="s">
        <v>874</v>
      </c>
      <c r="F244" s="1" t="s">
        <v>48</v>
      </c>
      <c r="G244" s="1"/>
    </row>
    <row r="245">
      <c r="B245" s="1" t="s">
        <v>290</v>
      </c>
      <c r="C245" s="1" t="s">
        <v>692</v>
      </c>
      <c r="D245" s="1" t="s">
        <v>858</v>
      </c>
      <c r="E245" s="1" t="s">
        <v>874</v>
      </c>
      <c r="F245" s="1" t="s">
        <v>47</v>
      </c>
      <c r="G245" s="1"/>
    </row>
    <row r="246">
      <c r="B246" s="1" t="s">
        <v>291</v>
      </c>
      <c r="C246" s="1" t="s">
        <v>693</v>
      </c>
      <c r="D246" s="1" t="s">
        <v>858</v>
      </c>
      <c r="E246" s="1" t="s">
        <v>874</v>
      </c>
      <c r="F246" s="1" t="s">
        <v>47</v>
      </c>
      <c r="G246" s="1"/>
    </row>
    <row r="247">
      <c r="B247" s="1" t="s">
        <v>292</v>
      </c>
      <c r="C247" s="1" t="s">
        <v>694</v>
      </c>
      <c r="D247" s="1" t="s">
        <v>858</v>
      </c>
      <c r="E247" s="1" t="s">
        <v>874</v>
      </c>
      <c r="F247" s="1" t="s">
        <v>47</v>
      </c>
      <c r="G247" s="1"/>
    </row>
    <row r="248">
      <c r="B248" s="1" t="s">
        <v>293</v>
      </c>
      <c r="C248" s="1" t="s">
        <v>695</v>
      </c>
      <c r="D248" s="1" t="s">
        <v>858</v>
      </c>
      <c r="E248" s="1" t="s">
        <v>874</v>
      </c>
      <c r="F248" s="1" t="s">
        <v>47</v>
      </c>
      <c r="G248" s="1"/>
    </row>
    <row r="249">
      <c r="B249" s="1" t="s">
        <v>294</v>
      </c>
      <c r="C249" s="1" t="s">
        <v>696</v>
      </c>
      <c r="D249" s="1" t="s">
        <v>858</v>
      </c>
      <c r="E249" s="1" t="s">
        <v>874</v>
      </c>
      <c r="F249" s="1" t="s">
        <v>47</v>
      </c>
      <c r="G249" s="1"/>
    </row>
    <row r="250">
      <c r="B250" s="1" t="s">
        <v>295</v>
      </c>
      <c r="C250" s="1" t="s">
        <v>697</v>
      </c>
      <c r="D250" s="1" t="s">
        <v>858</v>
      </c>
      <c r="E250" s="1" t="s">
        <v>874</v>
      </c>
      <c r="F250" s="1" t="s">
        <v>47</v>
      </c>
      <c r="G250" s="1"/>
    </row>
    <row r="251">
      <c r="B251" s="1" t="s">
        <v>296</v>
      </c>
      <c r="C251" s="1" t="s">
        <v>698</v>
      </c>
      <c r="D251" s="1" t="s">
        <v>858</v>
      </c>
      <c r="E251" s="1" t="s">
        <v>874</v>
      </c>
      <c r="F251" s="1" t="s">
        <v>47</v>
      </c>
      <c r="G251" s="1"/>
    </row>
    <row r="252">
      <c r="B252" s="1" t="s">
        <v>297</v>
      </c>
      <c r="C252" s="1" t="s">
        <v>699</v>
      </c>
      <c r="D252" s="1" t="s">
        <v>858</v>
      </c>
      <c r="E252" s="1" t="s">
        <v>874</v>
      </c>
      <c r="F252" s="1" t="s">
        <v>47</v>
      </c>
      <c r="G252" s="1"/>
    </row>
    <row r="253">
      <c r="B253" s="1" t="s">
        <v>298</v>
      </c>
      <c r="C253" s="1" t="s">
        <v>700</v>
      </c>
      <c r="D253" s="1" t="s">
        <v>858</v>
      </c>
      <c r="E253" s="1" t="s">
        <v>874</v>
      </c>
      <c r="F253" s="1" t="s">
        <v>47</v>
      </c>
      <c r="G253" s="1"/>
    </row>
    <row r="254">
      <c r="B254" s="1" t="s">
        <v>299</v>
      </c>
      <c r="C254" s="1" t="s">
        <v>701</v>
      </c>
      <c r="D254" s="1" t="s">
        <v>858</v>
      </c>
      <c r="E254" s="1" t="s">
        <v>874</v>
      </c>
      <c r="F254" s="1" t="s">
        <v>48</v>
      </c>
      <c r="G254" s="1"/>
    </row>
    <row r="255">
      <c r="B255" s="1" t="s">
        <v>300</v>
      </c>
      <c r="C255" s="1" t="s">
        <v>702</v>
      </c>
      <c r="D255" s="1" t="s">
        <v>858</v>
      </c>
      <c r="E255" s="1" t="s">
        <v>874</v>
      </c>
      <c r="F255" s="1" t="s">
        <v>47</v>
      </c>
      <c r="G255" s="1"/>
    </row>
    <row r="256">
      <c r="B256" s="1" t="s">
        <v>301</v>
      </c>
      <c r="C256" s="1" t="s">
        <v>703</v>
      </c>
      <c r="D256" s="1" t="s">
        <v>858</v>
      </c>
      <c r="E256" s="1" t="s">
        <v>874</v>
      </c>
      <c r="F256" s="1" t="s">
        <v>47</v>
      </c>
      <c r="G256" s="1"/>
    </row>
    <row r="257">
      <c r="B257" s="1" t="s">
        <v>302</v>
      </c>
      <c r="C257" s="1" t="s">
        <v>704</v>
      </c>
      <c r="D257" s="1" t="s">
        <v>858</v>
      </c>
      <c r="E257" s="1" t="s">
        <v>874</v>
      </c>
      <c r="F257" s="1" t="s">
        <v>48</v>
      </c>
      <c r="G257" s="1"/>
    </row>
    <row r="258">
      <c r="B258" s="1" t="s">
        <v>303</v>
      </c>
      <c r="C258" s="1" t="s">
        <v>705</v>
      </c>
      <c r="D258" s="1" t="s">
        <v>858</v>
      </c>
      <c r="E258" s="1" t="s">
        <v>874</v>
      </c>
      <c r="F258" s="1" t="s">
        <v>47</v>
      </c>
      <c r="G258" s="1"/>
    </row>
    <row r="259">
      <c r="B259" s="1" t="s">
        <v>304</v>
      </c>
      <c r="C259" s="1" t="s">
        <v>706</v>
      </c>
      <c r="D259" s="1" t="s">
        <v>858</v>
      </c>
      <c r="E259" s="1" t="s">
        <v>874</v>
      </c>
      <c r="F259" s="1" t="s">
        <v>47</v>
      </c>
      <c r="G259" s="1"/>
    </row>
    <row r="260">
      <c r="B260" s="1" t="s">
        <v>305</v>
      </c>
      <c r="C260" s="1" t="s">
        <v>707</v>
      </c>
      <c r="D260" s="1" t="s">
        <v>858</v>
      </c>
      <c r="E260" s="1" t="s">
        <v>874</v>
      </c>
      <c r="F260" s="1" t="s">
        <v>48</v>
      </c>
      <c r="G260" s="1"/>
    </row>
    <row r="261">
      <c r="B261" s="1" t="s">
        <v>306</v>
      </c>
      <c r="C261" s="1" t="s">
        <v>708</v>
      </c>
      <c r="D261" s="1" t="s">
        <v>858</v>
      </c>
      <c r="E261" s="1" t="s">
        <v>874</v>
      </c>
      <c r="F261" s="1" t="s">
        <v>48</v>
      </c>
      <c r="G261" s="1"/>
    </row>
    <row r="262">
      <c r="B262" s="1" t="s">
        <v>307</v>
      </c>
      <c r="C262" s="1" t="s">
        <v>709</v>
      </c>
      <c r="D262" s="1" t="s">
        <v>858</v>
      </c>
      <c r="E262" s="1" t="s">
        <v>874</v>
      </c>
      <c r="F262" s="1" t="s">
        <v>47</v>
      </c>
      <c r="G262" s="1"/>
    </row>
    <row r="263">
      <c r="B263" s="1" t="s">
        <v>308</v>
      </c>
      <c r="C263" s="1" t="s">
        <v>710</v>
      </c>
      <c r="D263" s="1" t="s">
        <v>858</v>
      </c>
      <c r="E263" s="1" t="s">
        <v>874</v>
      </c>
      <c r="F263" s="1" t="s">
        <v>47</v>
      </c>
      <c r="G263" s="1"/>
    </row>
    <row r="264">
      <c r="B264" s="1" t="s">
        <v>309</v>
      </c>
      <c r="C264" s="1" t="s">
        <v>711</v>
      </c>
      <c r="D264" s="1" t="s">
        <v>858</v>
      </c>
      <c r="E264" s="1" t="s">
        <v>874</v>
      </c>
      <c r="F264" s="1" t="s">
        <v>47</v>
      </c>
      <c r="G264" s="1"/>
    </row>
    <row r="265">
      <c r="B265" s="1" t="s">
        <v>310</v>
      </c>
      <c r="C265" s="1" t="s">
        <v>712</v>
      </c>
      <c r="D265" s="1" t="s">
        <v>858</v>
      </c>
      <c r="E265" s="1" t="s">
        <v>874</v>
      </c>
      <c r="F265" s="1" t="s">
        <v>48</v>
      </c>
      <c r="G265" s="1"/>
    </row>
    <row r="266">
      <c r="B266" s="1" t="s">
        <v>311</v>
      </c>
      <c r="C266" s="1" t="s">
        <v>713</v>
      </c>
      <c r="D266" s="1" t="s">
        <v>858</v>
      </c>
      <c r="E266" s="1" t="s">
        <v>874</v>
      </c>
      <c r="F266" s="1" t="s">
        <v>47</v>
      </c>
      <c r="G266" s="1"/>
    </row>
    <row r="267">
      <c r="B267" s="1" t="s">
        <v>312</v>
      </c>
      <c r="C267" s="1" t="s">
        <v>714</v>
      </c>
      <c r="D267" s="1" t="s">
        <v>858</v>
      </c>
      <c r="E267" s="1" t="s">
        <v>874</v>
      </c>
      <c r="F267" s="1" t="s">
        <v>47</v>
      </c>
      <c r="G267" s="1"/>
    </row>
    <row r="268">
      <c r="B268" s="1" t="s">
        <v>313</v>
      </c>
      <c r="C268" s="1" t="s">
        <v>715</v>
      </c>
      <c r="D268" s="1" t="s">
        <v>858</v>
      </c>
      <c r="E268" s="1" t="s">
        <v>874</v>
      </c>
      <c r="F268" s="1" t="s">
        <v>48</v>
      </c>
      <c r="G268" s="1"/>
    </row>
    <row r="269">
      <c r="B269" s="1" t="s">
        <v>314</v>
      </c>
      <c r="C269" s="1" t="s">
        <v>716</v>
      </c>
      <c r="D269" s="1" t="s">
        <v>858</v>
      </c>
      <c r="E269" s="1" t="s">
        <v>874</v>
      </c>
      <c r="F269" s="1" t="s">
        <v>48</v>
      </c>
      <c r="G269" s="1"/>
    </row>
    <row r="270">
      <c r="B270" s="1" t="s">
        <v>315</v>
      </c>
      <c r="C270" s="1" t="s">
        <v>717</v>
      </c>
      <c r="D270" s="1" t="s">
        <v>858</v>
      </c>
      <c r="E270" s="1" t="s">
        <v>874</v>
      </c>
      <c r="F270" s="1" t="s">
        <v>47</v>
      </c>
      <c r="G270" s="1"/>
    </row>
    <row r="271">
      <c r="B271" s="1" t="s">
        <v>316</v>
      </c>
      <c r="C271" s="1" t="s">
        <v>718</v>
      </c>
      <c r="D271" s="1" t="s">
        <v>858</v>
      </c>
      <c r="E271" s="1" t="s">
        <v>874</v>
      </c>
      <c r="F271" s="1" t="s">
        <v>48</v>
      </c>
      <c r="G271" s="1"/>
    </row>
    <row r="272">
      <c r="B272" s="1" t="s">
        <v>317</v>
      </c>
      <c r="C272" s="1" t="s">
        <v>719</v>
      </c>
      <c r="D272" s="1" t="s">
        <v>859</v>
      </c>
      <c r="E272" s="1" t="s">
        <v>874</v>
      </c>
      <c r="F272" s="1" t="s">
        <v>47</v>
      </c>
      <c r="G272" s="1"/>
    </row>
    <row r="273">
      <c r="B273" s="1" t="s">
        <v>318</v>
      </c>
      <c r="C273" s="1" t="s">
        <v>720</v>
      </c>
      <c r="D273" s="1" t="s">
        <v>856</v>
      </c>
      <c r="E273" s="1" t="s">
        <v>874</v>
      </c>
      <c r="F273" s="1" t="s">
        <v>48</v>
      </c>
      <c r="G273" s="1"/>
    </row>
    <row r="274">
      <c r="B274" s="1" t="s">
        <v>319</v>
      </c>
      <c r="C274" s="1" t="s">
        <v>721</v>
      </c>
      <c r="D274" s="1" t="s">
        <v>858</v>
      </c>
      <c r="E274" s="1" t="s">
        <v>874</v>
      </c>
      <c r="F274" s="1" t="s">
        <v>47</v>
      </c>
      <c r="G274" s="1"/>
    </row>
    <row r="275">
      <c r="B275" s="1" t="s">
        <v>320</v>
      </c>
      <c r="C275" s="1" t="s">
        <v>722</v>
      </c>
      <c r="D275" s="1" t="s">
        <v>858</v>
      </c>
      <c r="E275" s="1" t="s">
        <v>874</v>
      </c>
      <c r="F275" s="1" t="s">
        <v>47</v>
      </c>
      <c r="G275" s="1"/>
    </row>
    <row r="276">
      <c r="B276" s="1" t="s">
        <v>321</v>
      </c>
      <c r="C276" s="1" t="s">
        <v>723</v>
      </c>
      <c r="D276" s="1" t="s">
        <v>858</v>
      </c>
      <c r="E276" s="1" t="s">
        <v>874</v>
      </c>
      <c r="F276" s="1" t="s">
        <v>47</v>
      </c>
      <c r="G276" s="1"/>
    </row>
    <row r="277">
      <c r="B277" s="1" t="s">
        <v>322</v>
      </c>
      <c r="C277" s="1" t="s">
        <v>724</v>
      </c>
      <c r="D277" s="1" t="s">
        <v>856</v>
      </c>
      <c r="E277" s="1" t="s">
        <v>873</v>
      </c>
      <c r="F277" s="1" t="s">
        <v>47</v>
      </c>
      <c r="G277" s="1"/>
    </row>
    <row r="278">
      <c r="B278" s="1" t="s">
        <v>323</v>
      </c>
      <c r="C278" s="1" t="s">
        <v>725</v>
      </c>
      <c r="D278" s="1" t="s">
        <v>858</v>
      </c>
      <c r="E278" s="1" t="s">
        <v>874</v>
      </c>
      <c r="F278" s="1" t="s">
        <v>47</v>
      </c>
      <c r="G278" s="1"/>
    </row>
    <row r="279">
      <c r="B279" s="1" t="s">
        <v>324</v>
      </c>
      <c r="C279" s="1" t="s">
        <v>726</v>
      </c>
      <c r="D279" s="1" t="s">
        <v>858</v>
      </c>
      <c r="E279" s="1" t="s">
        <v>873</v>
      </c>
      <c r="F279" s="1" t="s">
        <v>48</v>
      </c>
      <c r="G279" s="1"/>
    </row>
    <row r="280">
      <c r="B280" s="1" t="s">
        <v>325</v>
      </c>
      <c r="C280" s="1" t="s">
        <v>727</v>
      </c>
      <c r="D280" s="1" t="s">
        <v>847</v>
      </c>
      <c r="E280" s="1" t="s">
        <v>874</v>
      </c>
      <c r="F280" s="1" t="s">
        <v>47</v>
      </c>
      <c r="G280" s="1"/>
    </row>
    <row r="281">
      <c r="B281" s="1" t="s">
        <v>326</v>
      </c>
      <c r="C281" s="1" t="s">
        <v>728</v>
      </c>
      <c r="D281" s="1" t="s">
        <v>856</v>
      </c>
      <c r="E281" s="1" t="s">
        <v>873</v>
      </c>
      <c r="F281" s="1" t="s">
        <v>48</v>
      </c>
      <c r="G281" s="1"/>
    </row>
    <row r="282">
      <c r="B282" s="1" t="s">
        <v>327</v>
      </c>
      <c r="C282" s="1" t="s">
        <v>729</v>
      </c>
      <c r="D282" s="1" t="s">
        <v>858</v>
      </c>
      <c r="E282" s="1" t="s">
        <v>874</v>
      </c>
      <c r="F282" s="1" t="s">
        <v>47</v>
      </c>
      <c r="G282" s="1"/>
    </row>
    <row r="283">
      <c r="B283" s="1" t="s">
        <v>328</v>
      </c>
      <c r="C283" s="1" t="s">
        <v>730</v>
      </c>
      <c r="D283" s="1" t="s">
        <v>858</v>
      </c>
      <c r="E283" s="1" t="s">
        <v>874</v>
      </c>
      <c r="F283" s="1" t="s">
        <v>47</v>
      </c>
      <c r="G283" s="1"/>
    </row>
    <row r="284">
      <c r="B284" s="1" t="s">
        <v>329</v>
      </c>
      <c r="C284" s="1" t="s">
        <v>731</v>
      </c>
      <c r="D284" s="1" t="s">
        <v>847</v>
      </c>
      <c r="E284" s="1" t="s">
        <v>874</v>
      </c>
      <c r="F284" s="1" t="s">
        <v>47</v>
      </c>
      <c r="G284" s="1"/>
    </row>
    <row r="285">
      <c r="B285" s="1" t="s">
        <v>330</v>
      </c>
      <c r="C285" s="1" t="s">
        <v>732</v>
      </c>
      <c r="D285" s="1" t="s">
        <v>847</v>
      </c>
      <c r="E285" s="1" t="s">
        <v>874</v>
      </c>
      <c r="F285" s="1" t="s">
        <v>48</v>
      </c>
      <c r="G285" s="1"/>
    </row>
    <row r="286">
      <c r="B286" s="1" t="s">
        <v>331</v>
      </c>
      <c r="C286" s="1" t="s">
        <v>733</v>
      </c>
      <c r="D286" s="1" t="s">
        <v>847</v>
      </c>
      <c r="E286" s="1" t="s">
        <v>874</v>
      </c>
      <c r="F286" s="1" t="s">
        <v>47</v>
      </c>
      <c r="G286" s="1"/>
    </row>
    <row r="287">
      <c r="B287" s="1" t="s">
        <v>332</v>
      </c>
      <c r="C287" s="1" t="s">
        <v>734</v>
      </c>
      <c r="D287" s="1" t="s">
        <v>858</v>
      </c>
      <c r="E287" s="1" t="s">
        <v>874</v>
      </c>
      <c r="F287" s="1" t="s">
        <v>47</v>
      </c>
      <c r="G287" s="1"/>
    </row>
    <row r="288">
      <c r="B288" s="1" t="s">
        <v>333</v>
      </c>
      <c r="C288" s="1" t="s">
        <v>735</v>
      </c>
      <c r="D288" s="1" t="s">
        <v>859</v>
      </c>
      <c r="E288" s="1" t="s">
        <v>875</v>
      </c>
      <c r="F288" s="1" t="s">
        <v>47</v>
      </c>
      <c r="G288" s="1"/>
    </row>
    <row r="289">
      <c r="B289" s="1" t="s">
        <v>334</v>
      </c>
      <c r="C289" s="1" t="s">
        <v>629</v>
      </c>
      <c r="D289" s="1" t="s">
        <v>847</v>
      </c>
      <c r="E289" s="1" t="s">
        <v>873</v>
      </c>
      <c r="F289" s="1" t="s">
        <v>47</v>
      </c>
      <c r="G289" s="1"/>
    </row>
    <row r="290">
      <c r="B290" s="1" t="s">
        <v>335</v>
      </c>
      <c r="C290" s="1" t="s">
        <v>633</v>
      </c>
      <c r="D290" s="1" t="s">
        <v>847</v>
      </c>
      <c r="E290" s="1" t="s">
        <v>875</v>
      </c>
      <c r="F290" s="1" t="s">
        <v>47</v>
      </c>
      <c r="G290" s="1"/>
    </row>
    <row r="291">
      <c r="B291" s="1" t="s">
        <v>336</v>
      </c>
      <c r="C291" s="1" t="s">
        <v>635</v>
      </c>
      <c r="D291" s="1" t="s">
        <v>858</v>
      </c>
      <c r="E291" s="1" t="s">
        <v>874</v>
      </c>
      <c r="F291" s="1" t="s">
        <v>47</v>
      </c>
      <c r="G291" s="1"/>
    </row>
    <row r="292">
      <c r="B292" s="1" t="s">
        <v>337</v>
      </c>
      <c r="C292" s="1" t="s">
        <v>637</v>
      </c>
      <c r="D292" s="1" t="s">
        <v>858</v>
      </c>
      <c r="E292" s="1" t="s">
        <v>874</v>
      </c>
      <c r="F292" s="1" t="s">
        <v>47</v>
      </c>
      <c r="G292" s="1"/>
    </row>
    <row r="293">
      <c r="B293" s="1" t="s">
        <v>338</v>
      </c>
      <c r="C293" s="1" t="s">
        <v>638</v>
      </c>
      <c r="D293" s="1" t="s">
        <v>858</v>
      </c>
      <c r="E293" s="1" t="s">
        <v>874</v>
      </c>
      <c r="F293" s="1" t="s">
        <v>48</v>
      </c>
      <c r="G293" s="1"/>
    </row>
    <row r="294">
      <c r="B294" s="1" t="s">
        <v>339</v>
      </c>
      <c r="C294" s="1" t="s">
        <v>644</v>
      </c>
      <c r="D294" s="1" t="s">
        <v>847</v>
      </c>
      <c r="E294" s="1" t="s">
        <v>874</v>
      </c>
      <c r="F294" s="1" t="s">
        <v>48</v>
      </c>
      <c r="G294" s="1"/>
    </row>
    <row r="295">
      <c r="B295" s="1" t="s">
        <v>340</v>
      </c>
      <c r="C295" s="1" t="s">
        <v>653</v>
      </c>
      <c r="D295" s="1" t="s">
        <v>859</v>
      </c>
      <c r="E295" s="1" t="s">
        <v>874</v>
      </c>
      <c r="F295" s="1" t="s">
        <v>47</v>
      </c>
      <c r="G295" s="1"/>
    </row>
    <row r="296">
      <c r="B296" s="1" t="s">
        <v>341</v>
      </c>
      <c r="C296" s="1" t="s">
        <v>736</v>
      </c>
      <c r="D296" s="1" t="s">
        <v>858</v>
      </c>
      <c r="E296" s="1" t="s">
        <v>874</v>
      </c>
      <c r="F296" s="1" t="s">
        <v>48</v>
      </c>
      <c r="G296" s="1"/>
    </row>
    <row r="297">
      <c r="B297" s="1" t="s">
        <v>342</v>
      </c>
      <c r="C297" s="1" t="s">
        <v>674</v>
      </c>
      <c r="D297" s="1" t="s">
        <v>847</v>
      </c>
      <c r="E297" s="1" t="s">
        <v>874</v>
      </c>
      <c r="F297" s="1" t="s">
        <v>47</v>
      </c>
      <c r="G297" s="1"/>
    </row>
    <row r="298">
      <c r="B298" s="1" t="s">
        <v>343</v>
      </c>
      <c r="C298" s="1" t="s">
        <v>676</v>
      </c>
      <c r="D298" s="1" t="s">
        <v>847</v>
      </c>
      <c r="E298" s="1" t="s">
        <v>874</v>
      </c>
      <c r="F298" s="1" t="s">
        <v>47</v>
      </c>
      <c r="G298" s="1"/>
    </row>
    <row r="299">
      <c r="B299" s="1" t="s">
        <v>344</v>
      </c>
      <c r="C299" s="1" t="s">
        <v>681</v>
      </c>
      <c r="D299" s="1" t="s">
        <v>847</v>
      </c>
      <c r="E299" s="1" t="s">
        <v>874</v>
      </c>
      <c r="F299" s="1" t="s">
        <v>47</v>
      </c>
      <c r="G299" s="1"/>
    </row>
    <row r="300">
      <c r="B300" s="1" t="s">
        <v>345</v>
      </c>
      <c r="C300" s="1" t="s">
        <v>684</v>
      </c>
      <c r="D300" s="1" t="s">
        <v>847</v>
      </c>
      <c r="E300" s="1" t="s">
        <v>874</v>
      </c>
      <c r="F300" s="1" t="s">
        <v>47</v>
      </c>
      <c r="G300" s="1"/>
    </row>
    <row r="301">
      <c r="B301" s="1" t="s">
        <v>346</v>
      </c>
      <c r="C301" s="1" t="s">
        <v>705</v>
      </c>
      <c r="D301" s="1" t="s">
        <v>858</v>
      </c>
      <c r="E301" s="1" t="s">
        <v>874</v>
      </c>
      <c r="F301" s="1" t="s">
        <v>47</v>
      </c>
      <c r="G301" s="1"/>
    </row>
    <row r="302">
      <c r="B302" s="1" t="s">
        <v>347</v>
      </c>
      <c r="C302" s="1" t="s">
        <v>708</v>
      </c>
      <c r="D302" s="1" t="s">
        <v>858</v>
      </c>
      <c r="E302" s="1" t="s">
        <v>874</v>
      </c>
      <c r="F302" s="1" t="s">
        <v>48</v>
      </c>
      <c r="G302" s="1"/>
    </row>
    <row r="303">
      <c r="B303" s="1" t="s">
        <v>348</v>
      </c>
      <c r="C303" s="1" t="s">
        <v>712</v>
      </c>
      <c r="D303" s="1" t="s">
        <v>858</v>
      </c>
      <c r="E303" s="1" t="s">
        <v>875</v>
      </c>
      <c r="F303" s="1" t="s">
        <v>48</v>
      </c>
      <c r="G303" s="1"/>
    </row>
    <row r="304">
      <c r="B304" s="1" t="s">
        <v>349</v>
      </c>
      <c r="C304" s="1" t="s">
        <v>737</v>
      </c>
      <c r="D304" s="1" t="s">
        <v>847</v>
      </c>
      <c r="E304" s="1" t="s">
        <v>874</v>
      </c>
      <c r="F304" s="1" t="s">
        <v>47</v>
      </c>
      <c r="G304" s="1"/>
    </row>
    <row r="305">
      <c r="B305" s="1" t="s">
        <v>350</v>
      </c>
      <c r="C305" s="1" t="s">
        <v>738</v>
      </c>
      <c r="D305" s="1" t="s">
        <v>859</v>
      </c>
      <c r="E305" s="1" t="s">
        <v>874</v>
      </c>
      <c r="F305" s="1" t="s">
        <v>47</v>
      </c>
      <c r="G305" s="1"/>
    </row>
    <row r="306">
      <c r="B306" s="1" t="s">
        <v>351</v>
      </c>
      <c r="C306" s="1" t="s">
        <v>739</v>
      </c>
      <c r="D306" s="1" t="s">
        <v>847</v>
      </c>
      <c r="E306" s="1" t="s">
        <v>874</v>
      </c>
      <c r="F306" s="1" t="s">
        <v>48</v>
      </c>
      <c r="G306" s="1"/>
    </row>
    <row r="307">
      <c r="B307" s="1" t="s">
        <v>352</v>
      </c>
      <c r="C307" s="1" t="s">
        <v>740</v>
      </c>
      <c r="D307" s="1" t="s">
        <v>847</v>
      </c>
      <c r="E307" s="1" t="s">
        <v>874</v>
      </c>
      <c r="F307" s="1" t="s">
        <v>47</v>
      </c>
      <c r="G307" s="1"/>
    </row>
    <row r="308">
      <c r="B308" s="1" t="s">
        <v>353</v>
      </c>
      <c r="C308" s="1" t="s">
        <v>741</v>
      </c>
      <c r="D308" s="1" t="s">
        <v>858</v>
      </c>
      <c r="E308" s="1" t="s">
        <v>874</v>
      </c>
      <c r="F308" s="1" t="s">
        <v>48</v>
      </c>
      <c r="G308" s="1"/>
    </row>
    <row r="309">
      <c r="B309" s="1" t="s">
        <v>354</v>
      </c>
      <c r="C309" s="1" t="s">
        <v>742</v>
      </c>
      <c r="D309" s="1" t="s">
        <v>847</v>
      </c>
      <c r="E309" s="1" t="s">
        <v>874</v>
      </c>
      <c r="F309" s="1" t="s">
        <v>47</v>
      </c>
      <c r="G309" s="1"/>
    </row>
    <row r="310">
      <c r="B310" s="1" t="s">
        <v>355</v>
      </c>
      <c r="C310" s="1" t="s">
        <v>743</v>
      </c>
      <c r="D310" s="1" t="s">
        <v>859</v>
      </c>
      <c r="E310" s="1" t="s">
        <v>874</v>
      </c>
      <c r="F310" s="1" t="s">
        <v>47</v>
      </c>
      <c r="G310" s="1"/>
    </row>
    <row r="311">
      <c r="B311" s="1" t="s">
        <v>356</v>
      </c>
      <c r="C311" s="1" t="s">
        <v>744</v>
      </c>
      <c r="D311" s="1" t="s">
        <v>858</v>
      </c>
      <c r="E311" s="1" t="s">
        <v>874</v>
      </c>
      <c r="F311" s="1" t="s">
        <v>48</v>
      </c>
      <c r="G311" s="1"/>
    </row>
    <row r="312">
      <c r="B312" s="1" t="s">
        <v>357</v>
      </c>
      <c r="C312" s="1" t="s">
        <v>729</v>
      </c>
      <c r="D312" s="1" t="s">
        <v>858</v>
      </c>
      <c r="E312" s="1" t="s">
        <v>874</v>
      </c>
      <c r="F312" s="1" t="s">
        <v>47</v>
      </c>
      <c r="G312" s="1"/>
    </row>
    <row r="313">
      <c r="B313" s="1" t="s">
        <v>358</v>
      </c>
      <c r="C313" s="1" t="s">
        <v>745</v>
      </c>
      <c r="D313" s="1" t="s">
        <v>859</v>
      </c>
      <c r="E313" s="1" t="s">
        <v>875</v>
      </c>
      <c r="F313" s="1" t="s">
        <v>48</v>
      </c>
      <c r="G313" s="1"/>
    </row>
    <row r="314">
      <c r="B314" s="1" t="s">
        <v>359</v>
      </c>
      <c r="C314" s="1" t="s">
        <v>746</v>
      </c>
      <c r="D314" s="1" t="s">
        <v>859</v>
      </c>
      <c r="E314" s="1" t="s">
        <v>874</v>
      </c>
      <c r="F314" s="1" t="s">
        <v>48</v>
      </c>
      <c r="G314" s="1"/>
    </row>
    <row r="315">
      <c r="B315" s="1" t="s">
        <v>360</v>
      </c>
      <c r="C315" s="1" t="s">
        <v>747</v>
      </c>
      <c r="D315" s="1" t="s">
        <v>847</v>
      </c>
      <c r="E315" s="1" t="s">
        <v>874</v>
      </c>
      <c r="F315" s="1" t="s">
        <v>48</v>
      </c>
      <c r="G315" s="1"/>
    </row>
    <row r="316">
      <c r="B316" s="1" t="s">
        <v>361</v>
      </c>
      <c r="C316" s="1" t="s">
        <v>748</v>
      </c>
      <c r="D316" s="1" t="s">
        <v>859</v>
      </c>
      <c r="E316" s="1" t="s">
        <v>874</v>
      </c>
      <c r="F316" s="1" t="s">
        <v>48</v>
      </c>
      <c r="G316" s="1"/>
    </row>
    <row r="317">
      <c r="B317" s="1" t="s">
        <v>362</v>
      </c>
      <c r="C317" s="1" t="s">
        <v>749</v>
      </c>
      <c r="D317" s="1" t="s">
        <v>859</v>
      </c>
      <c r="E317" s="1" t="s">
        <v>875</v>
      </c>
      <c r="F317" s="1" t="s">
        <v>47</v>
      </c>
      <c r="G317" s="1"/>
    </row>
    <row r="318">
      <c r="B318" s="1" t="s">
        <v>363</v>
      </c>
      <c r="C318" s="1" t="s">
        <v>750</v>
      </c>
      <c r="D318" s="1" t="s">
        <v>847</v>
      </c>
      <c r="E318" s="1" t="s">
        <v>874</v>
      </c>
      <c r="F318" s="1" t="s">
        <v>47</v>
      </c>
      <c r="G318" s="1"/>
    </row>
    <row r="319">
      <c r="B319" s="1" t="s">
        <v>364</v>
      </c>
      <c r="C319" s="1" t="s">
        <v>751</v>
      </c>
      <c r="D319" s="1" t="s">
        <v>847</v>
      </c>
      <c r="E319" s="1" t="s">
        <v>874</v>
      </c>
      <c r="F319" s="1" t="s">
        <v>47</v>
      </c>
      <c r="G319" s="1"/>
    </row>
    <row r="320">
      <c r="B320" s="1" t="s">
        <v>365</v>
      </c>
      <c r="C320" s="1" t="s">
        <v>752</v>
      </c>
      <c r="D320" s="1" t="s">
        <v>847</v>
      </c>
      <c r="E320" s="1" t="s">
        <v>874</v>
      </c>
      <c r="F320" s="1" t="s">
        <v>47</v>
      </c>
      <c r="G320" s="1"/>
    </row>
    <row r="321">
      <c r="B321" s="1" t="s">
        <v>366</v>
      </c>
      <c r="C321" s="1" t="s">
        <v>753</v>
      </c>
      <c r="D321" s="1" t="s">
        <v>847</v>
      </c>
      <c r="E321" s="1" t="s">
        <v>874</v>
      </c>
      <c r="F321" s="1" t="s">
        <v>48</v>
      </c>
      <c r="G321" s="1"/>
    </row>
    <row r="322">
      <c r="B322" s="1" t="s">
        <v>367</v>
      </c>
      <c r="C322" s="1" t="s">
        <v>754</v>
      </c>
      <c r="D322" s="1" t="s">
        <v>847</v>
      </c>
      <c r="E322" s="1" t="s">
        <v>874</v>
      </c>
      <c r="F322" s="1" t="s">
        <v>47</v>
      </c>
      <c r="G322" s="1"/>
    </row>
    <row r="323">
      <c r="B323" s="1" t="s">
        <v>368</v>
      </c>
      <c r="C323" s="1" t="s">
        <v>755</v>
      </c>
      <c r="D323" s="1" t="s">
        <v>847</v>
      </c>
      <c r="E323" s="1" t="s">
        <v>874</v>
      </c>
      <c r="F323" s="1" t="s">
        <v>47</v>
      </c>
      <c r="G323" s="1"/>
    </row>
    <row r="324">
      <c r="B324" s="1" t="s">
        <v>369</v>
      </c>
      <c r="C324" s="1" t="s">
        <v>756</v>
      </c>
      <c r="D324" s="1" t="s">
        <v>847</v>
      </c>
      <c r="E324" s="1" t="s">
        <v>874</v>
      </c>
      <c r="F324" s="1" t="s">
        <v>47</v>
      </c>
      <c r="G324" s="1"/>
    </row>
    <row r="325">
      <c r="B325" s="1" t="s">
        <v>370</v>
      </c>
      <c r="C325" s="1" t="s">
        <v>733</v>
      </c>
      <c r="D325" s="1" t="s">
        <v>847</v>
      </c>
      <c r="E325" s="1" t="s">
        <v>874</v>
      </c>
      <c r="F325" s="1" t="s">
        <v>47</v>
      </c>
      <c r="G325" s="1"/>
    </row>
    <row r="326">
      <c r="B326" s="1" t="s">
        <v>371</v>
      </c>
      <c r="C326" s="1" t="s">
        <v>757</v>
      </c>
      <c r="D326" s="1" t="s">
        <v>847</v>
      </c>
      <c r="E326" s="1" t="s">
        <v>874</v>
      </c>
      <c r="F326" s="1" t="s">
        <v>47</v>
      </c>
      <c r="G326" s="1"/>
    </row>
    <row r="327">
      <c r="B327" s="1" t="s">
        <v>372</v>
      </c>
      <c r="C327" s="1" t="s">
        <v>758</v>
      </c>
      <c r="D327" s="1" t="s">
        <v>854</v>
      </c>
      <c r="E327" s="1" t="s">
        <v>874</v>
      </c>
      <c r="F327" s="1" t="s">
        <v>47</v>
      </c>
      <c r="G327" s="1"/>
    </row>
    <row r="328">
      <c r="B328" s="1" t="s">
        <v>373</v>
      </c>
      <c r="C328" s="1" t="s">
        <v>759</v>
      </c>
      <c r="D328" s="1" t="s">
        <v>852</v>
      </c>
      <c r="E328" s="1" t="s">
        <v>874</v>
      </c>
      <c r="F328" s="1" t="s">
        <v>47</v>
      </c>
      <c r="G328" s="1"/>
    </row>
    <row r="329">
      <c r="B329" s="1" t="s">
        <v>374</v>
      </c>
      <c r="C329" s="1" t="s">
        <v>760</v>
      </c>
      <c r="D329" s="1" t="s">
        <v>858</v>
      </c>
      <c r="E329" s="1" t="s">
        <v>874</v>
      </c>
      <c r="F329" s="1" t="s">
        <v>47</v>
      </c>
      <c r="G329" s="1"/>
    </row>
    <row r="330">
      <c r="B330" s="1" t="s">
        <v>375</v>
      </c>
      <c r="C330" s="1" t="s">
        <v>761</v>
      </c>
      <c r="D330" s="1" t="s">
        <v>858</v>
      </c>
      <c r="E330" s="1" t="s">
        <v>873</v>
      </c>
      <c r="F330" s="1" t="s">
        <v>47</v>
      </c>
      <c r="G330" s="1"/>
    </row>
    <row r="331">
      <c r="B331" s="1" t="s">
        <v>376</v>
      </c>
      <c r="C331" s="1" t="s">
        <v>762</v>
      </c>
      <c r="D331" s="1" t="s">
        <v>854</v>
      </c>
      <c r="E331" s="1" t="s">
        <v>875</v>
      </c>
      <c r="F331" s="1" t="s">
        <v>48</v>
      </c>
      <c r="G331" s="1"/>
    </row>
    <row r="332">
      <c r="B332" s="1" t="s">
        <v>377</v>
      </c>
      <c r="C332" s="1" t="s">
        <v>641</v>
      </c>
      <c r="D332" s="1" t="s">
        <v>847</v>
      </c>
      <c r="E332" s="1" t="s">
        <v>874</v>
      </c>
      <c r="F332" s="1" t="s">
        <v>48</v>
      </c>
      <c r="G332" s="1"/>
    </row>
    <row r="333">
      <c r="B333" s="1" t="s">
        <v>378</v>
      </c>
      <c r="C333" s="1" t="s">
        <v>763</v>
      </c>
      <c r="D333" s="1" t="s">
        <v>854</v>
      </c>
      <c r="E333" s="1" t="s">
        <v>875</v>
      </c>
      <c r="F333" s="1" t="s">
        <v>47</v>
      </c>
      <c r="G333" s="1"/>
    </row>
    <row r="334">
      <c r="B334" s="1" t="s">
        <v>379</v>
      </c>
      <c r="C334" s="1" t="s">
        <v>764</v>
      </c>
      <c r="D334" s="1" t="s">
        <v>847</v>
      </c>
      <c r="E334" s="1" t="s">
        <v>874</v>
      </c>
      <c r="F334" s="1" t="s">
        <v>47</v>
      </c>
      <c r="G334" s="1"/>
    </row>
    <row r="335">
      <c r="B335" s="1" t="s">
        <v>380</v>
      </c>
      <c r="C335" s="1" t="s">
        <v>765</v>
      </c>
      <c r="D335" s="1" t="s">
        <v>854</v>
      </c>
      <c r="E335" s="1" t="s">
        <v>874</v>
      </c>
      <c r="F335" s="1" t="s">
        <v>47</v>
      </c>
      <c r="G335" s="1"/>
    </row>
    <row r="336">
      <c r="B336" s="1" t="s">
        <v>381</v>
      </c>
      <c r="C336" s="1" t="s">
        <v>544</v>
      </c>
      <c r="D336" s="1" t="s">
        <v>857</v>
      </c>
      <c r="E336" s="1" t="s">
        <v>874</v>
      </c>
      <c r="F336" s="1" t="s">
        <v>47</v>
      </c>
      <c r="G336" s="1"/>
    </row>
    <row r="337">
      <c r="B337" s="1" t="s">
        <v>382</v>
      </c>
      <c r="C337" s="1" t="s">
        <v>766</v>
      </c>
      <c r="D337" s="1" t="s">
        <v>848</v>
      </c>
      <c r="E337" s="1" t="s">
        <v>873</v>
      </c>
      <c r="F337" s="1" t="s">
        <v>47</v>
      </c>
      <c r="G337" s="1"/>
    </row>
    <row r="338">
      <c r="B338" s="1" t="s">
        <v>383</v>
      </c>
      <c r="C338" s="1" t="s">
        <v>767</v>
      </c>
      <c r="D338" s="1" t="s">
        <v>856</v>
      </c>
      <c r="E338" s="1" t="s">
        <v>874</v>
      </c>
      <c r="F338" s="1" t="s">
        <v>48</v>
      </c>
      <c r="G338" s="1"/>
    </row>
    <row r="339">
      <c r="B339" s="1" t="s">
        <v>384</v>
      </c>
      <c r="C339" s="1" t="s">
        <v>768</v>
      </c>
      <c r="D339" s="1" t="s">
        <v>854</v>
      </c>
      <c r="E339" s="1" t="s">
        <v>875</v>
      </c>
      <c r="F339" s="1" t="s">
        <v>47</v>
      </c>
      <c r="G339" s="1"/>
    </row>
    <row r="340">
      <c r="B340" s="1" t="s">
        <v>385</v>
      </c>
      <c r="C340" s="1" t="s">
        <v>769</v>
      </c>
      <c r="D340" s="1" t="s">
        <v>854</v>
      </c>
      <c r="E340" s="1" t="s">
        <v>875</v>
      </c>
      <c r="F340" s="1" t="s">
        <v>47</v>
      </c>
      <c r="G340" s="1"/>
    </row>
    <row r="341">
      <c r="B341" s="1" t="s">
        <v>386</v>
      </c>
      <c r="C341" s="1" t="s">
        <v>770</v>
      </c>
      <c r="D341" s="1" t="s">
        <v>854</v>
      </c>
      <c r="E341" s="1" t="s">
        <v>874</v>
      </c>
      <c r="F341" s="1" t="s">
        <v>47</v>
      </c>
      <c r="G341" s="1"/>
    </row>
    <row r="342">
      <c r="B342" s="1" t="s">
        <v>387</v>
      </c>
      <c r="C342" s="1" t="s">
        <v>573</v>
      </c>
      <c r="D342" s="1" t="s">
        <v>854</v>
      </c>
      <c r="E342" s="1" t="s">
        <v>874</v>
      </c>
      <c r="F342" s="1" t="s">
        <v>47</v>
      </c>
      <c r="G342" s="1"/>
    </row>
    <row r="343">
      <c r="B343" s="1" t="s">
        <v>388</v>
      </c>
      <c r="C343" s="1" t="s">
        <v>771</v>
      </c>
      <c r="D343" s="1" t="s">
        <v>859</v>
      </c>
      <c r="E343" s="1" t="s">
        <v>874</v>
      </c>
      <c r="F343" s="1" t="s">
        <v>47</v>
      </c>
      <c r="G343" s="1"/>
    </row>
    <row r="344">
      <c r="B344" s="1" t="s">
        <v>389</v>
      </c>
      <c r="C344" s="1" t="s">
        <v>772</v>
      </c>
      <c r="D344" s="1" t="s">
        <v>858</v>
      </c>
      <c r="E344" s="1" t="s">
        <v>874</v>
      </c>
      <c r="F344" s="1" t="s">
        <v>47</v>
      </c>
      <c r="G344" s="1"/>
    </row>
    <row r="345">
      <c r="B345" s="1" t="s">
        <v>390</v>
      </c>
      <c r="C345" s="1" t="s">
        <v>736</v>
      </c>
      <c r="D345" s="1" t="s">
        <v>858</v>
      </c>
      <c r="E345" s="1" t="s">
        <v>874</v>
      </c>
      <c r="F345" s="1" t="s">
        <v>48</v>
      </c>
      <c r="G345" s="1"/>
    </row>
    <row r="346">
      <c r="B346" s="1" t="s">
        <v>391</v>
      </c>
      <c r="C346" s="1" t="s">
        <v>773</v>
      </c>
      <c r="D346" s="1" t="s">
        <v>858</v>
      </c>
      <c r="E346" s="1" t="s">
        <v>874</v>
      </c>
      <c r="F346" s="1" t="s">
        <v>48</v>
      </c>
      <c r="G346" s="1"/>
    </row>
    <row r="347">
      <c r="B347" s="1" t="s">
        <v>392</v>
      </c>
      <c r="C347" s="1" t="s">
        <v>774</v>
      </c>
      <c r="D347" s="1" t="s">
        <v>858</v>
      </c>
      <c r="E347" s="1" t="s">
        <v>873</v>
      </c>
      <c r="F347" s="1" t="s">
        <v>48</v>
      </c>
      <c r="G347" s="1"/>
    </row>
    <row r="348">
      <c r="B348" s="1" t="s">
        <v>393</v>
      </c>
      <c r="C348" s="1" t="s">
        <v>775</v>
      </c>
      <c r="D348" s="1" t="s">
        <v>858</v>
      </c>
      <c r="E348" s="1" t="s">
        <v>874</v>
      </c>
      <c r="F348" s="1" t="s">
        <v>47</v>
      </c>
      <c r="G348" s="1"/>
    </row>
    <row r="349">
      <c r="B349" s="1" t="s">
        <v>394</v>
      </c>
      <c r="C349" s="1" t="s">
        <v>776</v>
      </c>
      <c r="D349" s="1" t="s">
        <v>853</v>
      </c>
      <c r="E349" s="1" t="s">
        <v>874</v>
      </c>
      <c r="F349" s="1" t="s">
        <v>47</v>
      </c>
      <c r="G349" s="1"/>
    </row>
    <row r="350">
      <c r="B350" s="1" t="s">
        <v>395</v>
      </c>
      <c r="C350" s="1" t="s">
        <v>777</v>
      </c>
      <c r="D350" s="1" t="s">
        <v>859</v>
      </c>
      <c r="E350" s="1" t="s">
        <v>874</v>
      </c>
      <c r="F350" s="1" t="s">
        <v>47</v>
      </c>
      <c r="G350" s="1"/>
    </row>
    <row r="351">
      <c r="B351" s="1" t="s">
        <v>396</v>
      </c>
      <c r="C351" s="1" t="s">
        <v>778</v>
      </c>
      <c r="D351" s="1" t="s">
        <v>858</v>
      </c>
      <c r="E351" s="1" t="s">
        <v>874</v>
      </c>
      <c r="F351" s="1" t="s">
        <v>47</v>
      </c>
      <c r="G351" s="1"/>
    </row>
    <row r="352">
      <c r="B352" s="1" t="s">
        <v>397</v>
      </c>
      <c r="C352" s="1" t="s">
        <v>779</v>
      </c>
      <c r="D352" s="1" t="s">
        <v>847</v>
      </c>
      <c r="E352" s="1" t="s">
        <v>874</v>
      </c>
      <c r="F352" s="1" t="s">
        <v>47</v>
      </c>
      <c r="G352" s="1"/>
    </row>
    <row r="353">
      <c r="B353" s="1" t="s">
        <v>398</v>
      </c>
      <c r="C353" s="1" t="s">
        <v>780</v>
      </c>
      <c r="D353" s="1" t="s">
        <v>847</v>
      </c>
      <c r="E353" s="1" t="s">
        <v>874</v>
      </c>
      <c r="F353" s="1" t="s">
        <v>48</v>
      </c>
      <c r="G353" s="1"/>
    </row>
    <row r="354">
      <c r="B354" s="1" t="s">
        <v>399</v>
      </c>
      <c r="C354" s="1" t="s">
        <v>781</v>
      </c>
      <c r="D354" s="1" t="s">
        <v>854</v>
      </c>
      <c r="E354" s="1" t="s">
        <v>874</v>
      </c>
      <c r="F354" s="1" t="s">
        <v>48</v>
      </c>
      <c r="G354" s="1"/>
    </row>
    <row r="355">
      <c r="B355" s="1" t="s">
        <v>400</v>
      </c>
      <c r="C355" s="1" t="s">
        <v>782</v>
      </c>
      <c r="D355" s="1" t="s">
        <v>859</v>
      </c>
      <c r="E355" s="1" t="s">
        <v>875</v>
      </c>
      <c r="F355" s="1" t="s">
        <v>48</v>
      </c>
      <c r="G355" s="1"/>
    </row>
    <row r="356">
      <c r="B356" s="1" t="s">
        <v>401</v>
      </c>
      <c r="C356" s="1" t="s">
        <v>783</v>
      </c>
      <c r="D356" s="1" t="s">
        <v>859</v>
      </c>
      <c r="E356" s="1" t="s">
        <v>874</v>
      </c>
      <c r="F356" s="1" t="s">
        <v>47</v>
      </c>
      <c r="G356" s="1"/>
    </row>
    <row r="357">
      <c r="B357" s="1" t="s">
        <v>402</v>
      </c>
      <c r="C357" s="1" t="s">
        <v>756</v>
      </c>
      <c r="D357" s="1" t="s">
        <v>847</v>
      </c>
      <c r="E357" s="1" t="s">
        <v>874</v>
      </c>
      <c r="F357" s="1" t="s">
        <v>47</v>
      </c>
      <c r="G357" s="1"/>
    </row>
    <row r="358">
      <c r="B358" s="1" t="s">
        <v>403</v>
      </c>
      <c r="C358" s="1" t="s">
        <v>784</v>
      </c>
      <c r="D358" s="1" t="s">
        <v>858</v>
      </c>
      <c r="E358" s="1" t="s">
        <v>874</v>
      </c>
      <c r="F358" s="1" t="s">
        <v>48</v>
      </c>
      <c r="G358" s="1"/>
    </row>
    <row r="359">
      <c r="B359" s="1" t="s">
        <v>404</v>
      </c>
      <c r="C359" s="1" t="s">
        <v>785</v>
      </c>
      <c r="D359" s="1" t="s">
        <v>847</v>
      </c>
      <c r="E359" s="1" t="s">
        <v>874</v>
      </c>
      <c r="F359" s="1" t="s">
        <v>47</v>
      </c>
      <c r="G359" s="1"/>
    </row>
    <row r="360">
      <c r="B360" s="1" t="s">
        <v>405</v>
      </c>
      <c r="C360" s="1" t="s">
        <v>786</v>
      </c>
      <c r="D360" s="1" t="s">
        <v>847</v>
      </c>
      <c r="E360" s="1" t="s">
        <v>873</v>
      </c>
      <c r="F360" s="1" t="s">
        <v>47</v>
      </c>
      <c r="G360" s="1"/>
    </row>
    <row r="361">
      <c r="B361" s="1" t="s">
        <v>406</v>
      </c>
      <c r="C361" s="1" t="s">
        <v>787</v>
      </c>
      <c r="D361" s="1" t="s">
        <v>847</v>
      </c>
      <c r="E361" s="1" t="s">
        <v>874</v>
      </c>
      <c r="F361" s="1" t="s">
        <v>47</v>
      </c>
      <c r="G361" s="1"/>
    </row>
    <row r="362">
      <c r="B362" s="1" t="s">
        <v>407</v>
      </c>
      <c r="C362" s="1" t="s">
        <v>788</v>
      </c>
      <c r="D362" s="1" t="s">
        <v>847</v>
      </c>
      <c r="E362" s="1" t="s">
        <v>874</v>
      </c>
      <c r="F362" s="1" t="s">
        <v>47</v>
      </c>
      <c r="G362" s="1"/>
    </row>
    <row r="363">
      <c r="B363" s="1" t="s">
        <v>408</v>
      </c>
      <c r="C363" s="1" t="s">
        <v>789</v>
      </c>
      <c r="D363" s="1" t="s">
        <v>847</v>
      </c>
      <c r="E363" s="1" t="s">
        <v>874</v>
      </c>
      <c r="F363" s="1" t="s">
        <v>47</v>
      </c>
      <c r="G363" s="1"/>
    </row>
    <row r="364">
      <c r="B364" s="1" t="s">
        <v>409</v>
      </c>
      <c r="C364" s="1" t="s">
        <v>790</v>
      </c>
      <c r="D364" s="1" t="s">
        <v>847</v>
      </c>
      <c r="E364" s="1" t="s">
        <v>874</v>
      </c>
      <c r="F364" s="1" t="s">
        <v>47</v>
      </c>
      <c r="G364" s="1"/>
    </row>
    <row r="365">
      <c r="B365" s="1" t="s">
        <v>410</v>
      </c>
      <c r="C365" s="1" t="s">
        <v>791</v>
      </c>
      <c r="D365" s="1" t="s">
        <v>859</v>
      </c>
      <c r="E365" s="1" t="s">
        <v>874</v>
      </c>
      <c r="F365" s="1" t="s">
        <v>47</v>
      </c>
      <c r="G365" s="1"/>
    </row>
    <row r="366">
      <c r="B366" s="1" t="s">
        <v>411</v>
      </c>
      <c r="C366" s="1" t="s">
        <v>792</v>
      </c>
      <c r="D366" s="1" t="s">
        <v>847</v>
      </c>
      <c r="E366" s="1" t="s">
        <v>874</v>
      </c>
      <c r="F366" s="1" t="s">
        <v>47</v>
      </c>
      <c r="G366" s="1"/>
    </row>
    <row r="367">
      <c r="B367" s="1" t="s">
        <v>412</v>
      </c>
      <c r="C367" s="1" t="s">
        <v>793</v>
      </c>
      <c r="D367" s="1" t="s">
        <v>851</v>
      </c>
      <c r="E367" s="1" t="s">
        <v>874</v>
      </c>
      <c r="F367" s="1" t="s">
        <v>47</v>
      </c>
      <c r="G367" s="1"/>
    </row>
    <row r="368">
      <c r="B368" s="1" t="s">
        <v>413</v>
      </c>
      <c r="C368" s="1" t="s">
        <v>794</v>
      </c>
      <c r="D368" s="1" t="s">
        <v>855</v>
      </c>
      <c r="E368" s="1" t="s">
        <v>874</v>
      </c>
      <c r="F368" s="1" t="s">
        <v>47</v>
      </c>
      <c r="G368" s="1"/>
    </row>
    <row r="369">
      <c r="B369" s="1" t="s">
        <v>414</v>
      </c>
      <c r="C369" s="1" t="s">
        <v>795</v>
      </c>
      <c r="D369" s="1" t="s">
        <v>847</v>
      </c>
      <c r="E369" s="1" t="s">
        <v>874</v>
      </c>
      <c r="F369" s="1" t="s">
        <v>47</v>
      </c>
      <c r="G369" s="1"/>
    </row>
    <row r="370">
      <c r="B370" s="1" t="s">
        <v>415</v>
      </c>
      <c r="C370" s="1" t="s">
        <v>796</v>
      </c>
      <c r="D370" s="1" t="s">
        <v>847</v>
      </c>
      <c r="E370" s="1" t="s">
        <v>874</v>
      </c>
      <c r="F370" s="1" t="s">
        <v>47</v>
      </c>
      <c r="G370" s="1"/>
    </row>
    <row r="371">
      <c r="B371" s="1" t="s">
        <v>416</v>
      </c>
      <c r="C371" s="1" t="s">
        <v>797</v>
      </c>
      <c r="D371" s="1" t="s">
        <v>858</v>
      </c>
      <c r="E371" s="1" t="s">
        <v>874</v>
      </c>
      <c r="F371" s="1" t="s">
        <v>47</v>
      </c>
      <c r="G371" s="1"/>
    </row>
    <row r="372">
      <c r="B372" s="1" t="s">
        <v>417</v>
      </c>
      <c r="C372" s="1" t="s">
        <v>798</v>
      </c>
      <c r="D372" s="1" t="s">
        <v>858</v>
      </c>
      <c r="E372" s="1" t="s">
        <v>874</v>
      </c>
      <c r="F372" s="1" t="s">
        <v>47</v>
      </c>
      <c r="G372" s="1"/>
    </row>
    <row r="373">
      <c r="B373" s="1" t="s">
        <v>418</v>
      </c>
      <c r="C373" s="1" t="s">
        <v>799</v>
      </c>
      <c r="D373" s="1" t="s">
        <v>858</v>
      </c>
      <c r="E373" s="1" t="s">
        <v>874</v>
      </c>
      <c r="F373" s="1" t="s">
        <v>47</v>
      </c>
      <c r="G373" s="1"/>
    </row>
    <row r="374">
      <c r="B374" s="1" t="s">
        <v>419</v>
      </c>
      <c r="C374" s="1" t="s">
        <v>800</v>
      </c>
      <c r="D374" s="1" t="s">
        <v>857</v>
      </c>
      <c r="E374" s="1" t="s">
        <v>874</v>
      </c>
      <c r="F374" s="1" t="s">
        <v>47</v>
      </c>
      <c r="G374" s="1" t="s">
        <v>57</v>
      </c>
    </row>
    <row r="375">
      <c r="B375" s="1" t="s">
        <v>420</v>
      </c>
      <c r="C375" s="1" t="s">
        <v>801</v>
      </c>
      <c r="D375" s="1" t="s">
        <v>857</v>
      </c>
      <c r="E375" s="1" t="s">
        <v>875</v>
      </c>
      <c r="F375" s="1" t="s">
        <v>47</v>
      </c>
      <c r="G375" s="1"/>
    </row>
    <row r="376">
      <c r="B376" s="1" t="s">
        <v>421</v>
      </c>
      <c r="C376" s="1" t="s">
        <v>802</v>
      </c>
      <c r="D376" s="1" t="s">
        <v>857</v>
      </c>
      <c r="E376" s="1" t="s">
        <v>874</v>
      </c>
      <c r="F376" s="1" t="s">
        <v>47</v>
      </c>
      <c r="G376" s="1"/>
    </row>
    <row r="377">
      <c r="B377" s="1" t="s">
        <v>422</v>
      </c>
      <c r="C377" s="1" t="s">
        <v>803</v>
      </c>
      <c r="D377" s="1" t="s">
        <v>857</v>
      </c>
      <c r="E377" s="1" t="s">
        <v>874</v>
      </c>
      <c r="F377" s="1" t="s">
        <v>47</v>
      </c>
      <c r="G377" s="1"/>
    </row>
    <row r="378">
      <c r="B378" s="1" t="s">
        <v>423</v>
      </c>
      <c r="C378" s="1" t="s">
        <v>804</v>
      </c>
      <c r="D378" s="1" t="s">
        <v>857</v>
      </c>
      <c r="E378" s="1" t="s">
        <v>874</v>
      </c>
      <c r="F378" s="1" t="s">
        <v>47</v>
      </c>
      <c r="G378" s="1"/>
    </row>
    <row r="379">
      <c r="B379" s="1" t="s">
        <v>424</v>
      </c>
      <c r="C379" s="1" t="s">
        <v>805</v>
      </c>
      <c r="D379" s="1" t="s">
        <v>857</v>
      </c>
      <c r="E379" s="1" t="s">
        <v>874</v>
      </c>
      <c r="F379" s="1" t="s">
        <v>47</v>
      </c>
      <c r="G379" s="1"/>
    </row>
    <row r="380">
      <c r="B380" s="1" t="s">
        <v>425</v>
      </c>
      <c r="C380" s="1" t="s">
        <v>806</v>
      </c>
      <c r="D380" s="1" t="s">
        <v>857</v>
      </c>
      <c r="E380" s="1" t="s">
        <v>874</v>
      </c>
      <c r="F380" s="1" t="s">
        <v>47</v>
      </c>
      <c r="G380" s="1"/>
    </row>
    <row r="381">
      <c r="B381" s="1" t="s">
        <v>426</v>
      </c>
      <c r="C381" s="1" t="s">
        <v>807</v>
      </c>
      <c r="D381" s="1" t="s">
        <v>857</v>
      </c>
      <c r="E381" s="1" t="s">
        <v>874</v>
      </c>
      <c r="F381" s="1" t="s">
        <v>47</v>
      </c>
      <c r="G381" s="1"/>
    </row>
    <row r="382">
      <c r="B382" s="1" t="s">
        <v>427</v>
      </c>
      <c r="C382" s="1" t="s">
        <v>808</v>
      </c>
      <c r="D382" s="1" t="s">
        <v>857</v>
      </c>
      <c r="E382" s="1" t="s">
        <v>874</v>
      </c>
      <c r="F382" s="1" t="s">
        <v>47</v>
      </c>
      <c r="G382" s="1"/>
    </row>
    <row r="383">
      <c r="B383" s="1" t="s">
        <v>428</v>
      </c>
      <c r="C383" s="1" t="s">
        <v>809</v>
      </c>
      <c r="D383" s="1" t="s">
        <v>857</v>
      </c>
      <c r="E383" s="1" t="s">
        <v>874</v>
      </c>
      <c r="F383" s="1" t="s">
        <v>47</v>
      </c>
      <c r="G383" s="1"/>
    </row>
    <row r="384">
      <c r="B384" s="1" t="s">
        <v>429</v>
      </c>
      <c r="C384" s="1" t="s">
        <v>810</v>
      </c>
      <c r="D384" s="1" t="s">
        <v>859</v>
      </c>
      <c r="E384" s="1" t="s">
        <v>874</v>
      </c>
      <c r="F384" s="1" t="s">
        <v>47</v>
      </c>
      <c r="G384" s="1"/>
    </row>
    <row r="385">
      <c r="B385" s="1" t="s">
        <v>430</v>
      </c>
      <c r="C385" s="1" t="s">
        <v>811</v>
      </c>
      <c r="D385" s="1" t="s">
        <v>847</v>
      </c>
      <c r="E385" s="1" t="s">
        <v>873</v>
      </c>
      <c r="F385" s="1" t="s">
        <v>47</v>
      </c>
      <c r="G385" s="1"/>
    </row>
    <row r="386">
      <c r="B386" s="1" t="s">
        <v>431</v>
      </c>
      <c r="C386" s="1" t="s">
        <v>812</v>
      </c>
      <c r="D386" s="1" t="s">
        <v>855</v>
      </c>
      <c r="E386" s="1" t="s">
        <v>874</v>
      </c>
      <c r="F386" s="1" t="s">
        <v>47</v>
      </c>
      <c r="G386" s="1"/>
    </row>
    <row r="387">
      <c r="B387" s="1" t="s">
        <v>432</v>
      </c>
      <c r="C387" s="1" t="s">
        <v>813</v>
      </c>
      <c r="D387" s="1" t="s">
        <v>847</v>
      </c>
      <c r="E387" s="1" t="s">
        <v>874</v>
      </c>
      <c r="F387" s="1" t="s">
        <v>47</v>
      </c>
      <c r="G387" s="1"/>
    </row>
    <row r="388">
      <c r="B388" s="1" t="s">
        <v>433</v>
      </c>
      <c r="C388" s="1" t="s">
        <v>814</v>
      </c>
      <c r="D388" s="1" t="s">
        <v>853</v>
      </c>
      <c r="E388" s="1" t="s">
        <v>874</v>
      </c>
      <c r="F388" s="1" t="s">
        <v>47</v>
      </c>
      <c r="G388" s="1"/>
    </row>
    <row r="389">
      <c r="B389" s="1" t="s">
        <v>434</v>
      </c>
      <c r="C389" s="1" t="s">
        <v>815</v>
      </c>
      <c r="D389" s="1" t="s">
        <v>858</v>
      </c>
      <c r="E389" s="1" t="s">
        <v>874</v>
      </c>
      <c r="F389" s="1" t="s">
        <v>47</v>
      </c>
      <c r="G389" s="1"/>
    </row>
    <row r="390">
      <c r="B390" s="1" t="s">
        <v>435</v>
      </c>
      <c r="C390" s="1" t="s">
        <v>816</v>
      </c>
      <c r="D390" s="1" t="s">
        <v>856</v>
      </c>
      <c r="E390" s="1" t="s">
        <v>874</v>
      </c>
      <c r="F390" s="1" t="s">
        <v>48</v>
      </c>
      <c r="G390" s="1"/>
    </row>
    <row r="391">
      <c r="B391" s="1" t="s">
        <v>436</v>
      </c>
      <c r="C391" s="1" t="s">
        <v>817</v>
      </c>
      <c r="D391" s="1" t="s">
        <v>856</v>
      </c>
      <c r="E391" s="1" t="s">
        <v>873</v>
      </c>
      <c r="F391" s="1" t="s">
        <v>47</v>
      </c>
      <c r="G391" s="1"/>
    </row>
    <row r="392">
      <c r="B392" s="1" t="s">
        <v>437</v>
      </c>
      <c r="C392" s="1" t="s">
        <v>818</v>
      </c>
      <c r="D392" s="1" t="s">
        <v>856</v>
      </c>
      <c r="E392" s="1" t="s">
        <v>874</v>
      </c>
      <c r="F392" s="1" t="s">
        <v>48</v>
      </c>
      <c r="G392" s="1"/>
    </row>
    <row r="393">
      <c r="B393" s="1" t="s">
        <v>438</v>
      </c>
      <c r="C393" s="1" t="s">
        <v>819</v>
      </c>
      <c r="D393" s="1" t="s">
        <v>856</v>
      </c>
      <c r="E393" s="1" t="s">
        <v>874</v>
      </c>
      <c r="F393" s="1" t="s">
        <v>48</v>
      </c>
      <c r="G393" s="1"/>
    </row>
    <row r="394">
      <c r="B394" s="1" t="s">
        <v>439</v>
      </c>
      <c r="C394" s="1" t="s">
        <v>820</v>
      </c>
      <c r="D394" s="1" t="s">
        <v>856</v>
      </c>
      <c r="E394" s="1" t="s">
        <v>874</v>
      </c>
      <c r="F394" s="1" t="s">
        <v>48</v>
      </c>
      <c r="G394" s="1"/>
    </row>
    <row r="395">
      <c r="B395" s="1" t="s">
        <v>440</v>
      </c>
      <c r="C395" s="1" t="s">
        <v>821</v>
      </c>
      <c r="D395" s="1" t="s">
        <v>856</v>
      </c>
      <c r="E395" s="1" t="s">
        <v>874</v>
      </c>
      <c r="F395" s="1" t="s">
        <v>48</v>
      </c>
      <c r="G395" s="1"/>
    </row>
    <row r="396">
      <c r="B396" s="1" t="s">
        <v>441</v>
      </c>
      <c r="C396" s="1" t="s">
        <v>822</v>
      </c>
      <c r="D396" s="1" t="s">
        <v>856</v>
      </c>
      <c r="E396" s="1" t="s">
        <v>874</v>
      </c>
      <c r="F396" s="1" t="s">
        <v>48</v>
      </c>
      <c r="G396" s="1"/>
    </row>
    <row r="397">
      <c r="B397" s="1" t="s">
        <v>442</v>
      </c>
      <c r="C397" s="1" t="s">
        <v>823</v>
      </c>
      <c r="D397" s="1" t="s">
        <v>856</v>
      </c>
      <c r="E397" s="1" t="s">
        <v>874</v>
      </c>
      <c r="F397" s="1" t="s">
        <v>48</v>
      </c>
      <c r="G397" s="1"/>
    </row>
    <row r="398">
      <c r="B398" s="1" t="s">
        <v>443</v>
      </c>
      <c r="C398" s="1" t="s">
        <v>824</v>
      </c>
      <c r="D398" s="1" t="s">
        <v>856</v>
      </c>
      <c r="E398" s="1" t="s">
        <v>874</v>
      </c>
      <c r="F398" s="1" t="s">
        <v>48</v>
      </c>
      <c r="G398" s="1"/>
    </row>
    <row r="399">
      <c r="B399" s="1" t="s">
        <v>444</v>
      </c>
      <c r="C399" s="1" t="s">
        <v>825</v>
      </c>
      <c r="D399" s="1" t="s">
        <v>856</v>
      </c>
      <c r="E399" s="1" t="s">
        <v>874</v>
      </c>
      <c r="F399" s="1" t="s">
        <v>48</v>
      </c>
      <c r="G399" s="1"/>
    </row>
    <row r="400">
      <c r="B400" s="1" t="s">
        <v>445</v>
      </c>
      <c r="C400" s="1" t="s">
        <v>826</v>
      </c>
      <c r="D400" s="1" t="s">
        <v>856</v>
      </c>
      <c r="E400" s="1" t="s">
        <v>874</v>
      </c>
      <c r="F400" s="1" t="s">
        <v>48</v>
      </c>
      <c r="G400" s="1"/>
    </row>
    <row r="401">
      <c r="B401" s="1" t="s">
        <v>446</v>
      </c>
      <c r="C401" s="1" t="s">
        <v>827</v>
      </c>
      <c r="D401" s="1" t="s">
        <v>857</v>
      </c>
      <c r="E401" s="1" t="s">
        <v>874</v>
      </c>
      <c r="F401" s="1" t="s">
        <v>47</v>
      </c>
      <c r="G401" s="1"/>
    </row>
    <row r="402">
      <c r="B402" s="1" t="s">
        <v>447</v>
      </c>
      <c r="C402" s="1" t="s">
        <v>828</v>
      </c>
      <c r="D402" s="1" t="s">
        <v>859</v>
      </c>
      <c r="E402" s="1" t="s">
        <v>874</v>
      </c>
      <c r="F402" s="1" t="s">
        <v>47</v>
      </c>
      <c r="G402" s="1"/>
    </row>
    <row r="403">
      <c r="B403" s="1" t="s">
        <v>448</v>
      </c>
      <c r="C403" s="1" t="s">
        <v>829</v>
      </c>
      <c r="D403" s="1" t="s">
        <v>859</v>
      </c>
      <c r="E403" s="1" t="s">
        <v>875</v>
      </c>
      <c r="F403" s="1" t="s">
        <v>47</v>
      </c>
      <c r="G403" s="1"/>
    </row>
    <row r="404">
      <c r="B404" s="1" t="s">
        <v>449</v>
      </c>
      <c r="C404" s="1" t="s">
        <v>830</v>
      </c>
      <c r="D404" s="1" t="s">
        <v>859</v>
      </c>
      <c r="E404" s="1" t="s">
        <v>875</v>
      </c>
      <c r="F404" s="1" t="s">
        <v>47</v>
      </c>
      <c r="G404" s="1"/>
    </row>
    <row r="405">
      <c r="B405" s="1" t="s">
        <v>450</v>
      </c>
      <c r="C405" s="1" t="s">
        <v>831</v>
      </c>
      <c r="D405" s="1" t="s">
        <v>859</v>
      </c>
      <c r="E405" s="1" t="s">
        <v>875</v>
      </c>
      <c r="F405" s="1" t="s">
        <v>47</v>
      </c>
      <c r="G405" s="1"/>
    </row>
    <row r="406">
      <c r="B406" s="1" t="s">
        <v>451</v>
      </c>
      <c r="C406" s="1" t="s">
        <v>832</v>
      </c>
      <c r="D406" s="1" t="s">
        <v>848</v>
      </c>
      <c r="E406" s="1" t="s">
        <v>874</v>
      </c>
      <c r="F406" s="1" t="s">
        <v>48</v>
      </c>
      <c r="G406" s="1"/>
    </row>
    <row r="407">
      <c r="B407" s="1" t="s">
        <v>452</v>
      </c>
      <c r="C407" s="1" t="s">
        <v>833</v>
      </c>
      <c r="D407" s="1" t="s">
        <v>849</v>
      </c>
      <c r="E407" s="1" t="s">
        <v>874</v>
      </c>
      <c r="F407" s="1" t="s">
        <v>48</v>
      </c>
      <c r="G407" s="1"/>
    </row>
    <row r="408">
      <c r="B408" s="1" t="s">
        <v>453</v>
      </c>
      <c r="C408" s="1" t="s">
        <v>834</v>
      </c>
      <c r="D408" s="1" t="s">
        <v>858</v>
      </c>
      <c r="E408" s="1" t="s">
        <v>874</v>
      </c>
      <c r="F408" s="1" t="s">
        <v>48</v>
      </c>
      <c r="G408" s="1"/>
    </row>
    <row r="409">
      <c r="B409" s="1" t="s">
        <v>454</v>
      </c>
      <c r="C409" s="1" t="s">
        <v>835</v>
      </c>
      <c r="D409" s="1" t="s">
        <v>858</v>
      </c>
      <c r="E409" s="1" t="s">
        <v>874</v>
      </c>
      <c r="F409" s="1" t="s">
        <v>47</v>
      </c>
      <c r="G409" s="1"/>
    </row>
    <row r="410">
      <c r="B410" s="1" t="s">
        <v>455</v>
      </c>
      <c r="C410" s="1" t="s">
        <v>836</v>
      </c>
      <c r="D410" s="1" t="s">
        <v>858</v>
      </c>
      <c r="E410" s="1" t="s">
        <v>874</v>
      </c>
      <c r="F410" s="1" t="s">
        <v>47</v>
      </c>
      <c r="G410" s="1"/>
    </row>
    <row r="411">
      <c r="B411" s="1" t="s">
        <v>456</v>
      </c>
      <c r="C411" s="1" t="s">
        <v>837</v>
      </c>
      <c r="D411" s="1" t="s">
        <v>858</v>
      </c>
      <c r="E411" s="1" t="s">
        <v>874</v>
      </c>
      <c r="F411" s="1" t="s">
        <v>47</v>
      </c>
      <c r="G411" s="1"/>
    </row>
    <row r="412">
      <c r="B412" s="1" t="s">
        <v>457</v>
      </c>
      <c r="C412" s="1" t="s">
        <v>838</v>
      </c>
      <c r="D412" s="1" t="s">
        <v>858</v>
      </c>
      <c r="E412" s="1" t="s">
        <v>873</v>
      </c>
      <c r="F412" s="1" t="s">
        <v>11</v>
      </c>
      <c r="G412" s="1"/>
    </row>
    <row r="413">
      <c r="B413" s="1" t="s">
        <v>458</v>
      </c>
      <c r="C413" s="1" t="s">
        <v>839</v>
      </c>
      <c r="D413" s="1" t="s">
        <v>858</v>
      </c>
      <c r="E413" s="1" t="s">
        <v>875</v>
      </c>
      <c r="F413" s="1" t="s">
        <v>48</v>
      </c>
      <c r="G413" s="1"/>
    </row>
    <row r="414">
      <c r="B414" s="1" t="s">
        <v>459</v>
      </c>
      <c r="C414" s="1" t="s">
        <v>840</v>
      </c>
      <c r="D414" s="1" t="s">
        <v>858</v>
      </c>
      <c r="E414" s="1" t="s">
        <v>875</v>
      </c>
      <c r="F414" s="1" t="s">
        <v>47</v>
      </c>
      <c r="G414" s="1"/>
    </row>
    <row r="415">
      <c r="B415" s="1" t="s">
        <v>460</v>
      </c>
      <c r="C415" s="1" t="s">
        <v>841</v>
      </c>
      <c r="D415" s="1" t="s">
        <v>858</v>
      </c>
      <c r="E415" s="1" t="s">
        <v>874</v>
      </c>
      <c r="F415" s="1" t="s">
        <v>48</v>
      </c>
      <c r="G415" s="1"/>
    </row>
    <row r="416">
      <c r="B416" s="1" t="s">
        <v>461</v>
      </c>
      <c r="C416" s="1" t="s">
        <v>842</v>
      </c>
      <c r="D416" s="1" t="s">
        <v>858</v>
      </c>
      <c r="E416" s="1" t="s">
        <v>875</v>
      </c>
      <c r="F416" s="1" t="s">
        <v>48</v>
      </c>
      <c r="G416" s="1"/>
    </row>
    <row r="417">
      <c r="B417" s="1" t="s">
        <v>462</v>
      </c>
      <c r="C417" s="1" t="s">
        <v>843</v>
      </c>
      <c r="D417" s="1" t="s">
        <v>858</v>
      </c>
      <c r="E417" s="1" t="s">
        <v>875</v>
      </c>
      <c r="F417" s="1" t="s">
        <v>48</v>
      </c>
      <c r="G417" s="1"/>
    </row>
    <row r="418">
      <c r="B418" s="1" t="s">
        <v>463</v>
      </c>
      <c r="C418" s="1" t="s">
        <v>844</v>
      </c>
      <c r="D418" s="1" t="s">
        <v>858</v>
      </c>
      <c r="E418" s="1" t="s">
        <v>875</v>
      </c>
      <c r="F418" s="1" t="s">
        <v>47</v>
      </c>
      <c r="G418" s="1"/>
    </row>
    <row r="419">
      <c r="B419" s="1" t="s">
        <v>464</v>
      </c>
      <c r="C419" s="1" t="s">
        <v>845</v>
      </c>
      <c r="D419" s="1" t="s">
        <v>858</v>
      </c>
      <c r="E419" s="1" t="s">
        <v>874</v>
      </c>
      <c r="F419" s="1" t="s">
        <v>47</v>
      </c>
      <c r="G419" s="1"/>
    </row>
    <row r="420">
      <c r="B420" s="1"/>
      <c r="C420" s="1"/>
      <c r="D420" s="1"/>
      <c r="E420" s="1"/>
      <c r="F420" s="1"/>
    </row>
    <row r="421">
      <c r="B421" s="1"/>
      <c r="C421" s="1"/>
      <c r="D421" s="1"/>
      <c r="E421" s="1"/>
      <c r="F421" s="1"/>
    </row>
    <row r="422">
      <c r="B422" s="1"/>
      <c r="C422" s="1"/>
      <c r="D422" s="1"/>
      <c r="E422" s="1"/>
      <c r="F422" s="1"/>
    </row>
    <row r="423">
      <c r="B423" s="1"/>
      <c r="C423" s="1"/>
      <c r="D423" s="1"/>
      <c r="E423" s="1"/>
      <c r="F423" s="1"/>
    </row>
    <row r="424">
      <c r="B424" s="1"/>
      <c r="C424" s="1"/>
      <c r="D424" s="1"/>
      <c r="E424" s="1"/>
      <c r="F424" s="1"/>
    </row>
    <row r="425">
      <c r="B425" s="1"/>
      <c r="C425" s="1"/>
      <c r="D425" s="1"/>
      <c r="E425" s="1"/>
      <c r="F425" s="1"/>
    </row>
    <row r="426">
      <c r="B426" s="1"/>
      <c r="C426" s="1"/>
      <c r="D426" s="1"/>
      <c r="E426" s="1"/>
      <c r="F426" s="1"/>
    </row>
    <row r="427">
      <c r="B427" s="1"/>
      <c r="C427" s="1"/>
      <c r="D427" s="1"/>
      <c r="E427" s="1"/>
      <c r="F427" s="1"/>
    </row>
    <row r="428">
      <c r="B428" s="1"/>
      <c r="C428" s="1"/>
      <c r="D428" s="1"/>
      <c r="E428" s="1"/>
      <c r="F428" s="1"/>
    </row>
    <row r="429">
      <c r="B429" s="1"/>
      <c r="C429" s="1"/>
      <c r="D429" s="1"/>
      <c r="E429" s="1"/>
      <c r="F429" s="1"/>
    </row>
    <row r="430">
      <c r="B430" s="1"/>
      <c r="C430" s="1"/>
      <c r="D430" s="1"/>
      <c r="E430" s="1"/>
      <c r="F430" s="1"/>
    </row>
    <row r="431">
      <c r="B431" s="1"/>
      <c r="C431" s="1"/>
      <c r="D431" s="1"/>
      <c r="E431" s="1"/>
      <c r="F431" s="1"/>
    </row>
    <row r="432">
      <c r="B432" s="1"/>
      <c r="C432" s="1"/>
      <c r="D432" s="1"/>
      <c r="E432" s="1"/>
      <c r="F432" s="1"/>
    </row>
    <row r="433">
      <c r="B433" s="1"/>
      <c r="C433" s="1"/>
      <c r="D433" s="1"/>
      <c r="E433" s="1"/>
      <c r="F433" s="1"/>
    </row>
    <row r="434">
      <c r="B434" s="1"/>
      <c r="C434" s="1"/>
      <c r="D434" s="1"/>
      <c r="E434" s="1"/>
      <c r="F434" s="1"/>
    </row>
    <row r="435">
      <c r="B435" s="1"/>
      <c r="C435" s="1"/>
      <c r="D435" s="1"/>
      <c r="E435" s="1"/>
      <c r="F435" s="1"/>
    </row>
    <row r="436">
      <c r="B436" s="1"/>
      <c r="C436" s="1"/>
      <c r="D436" s="1"/>
      <c r="E436" s="1"/>
      <c r="F436" s="1"/>
    </row>
    <row r="437">
      <c r="B437" s="1"/>
      <c r="C437" s="1"/>
      <c r="D437" s="1"/>
      <c r="E437" s="1"/>
      <c r="F437" s="1"/>
    </row>
    <row r="438">
      <c r="B438" s="1"/>
      <c r="C438" s="1"/>
      <c r="D438" s="1"/>
      <c r="E438" s="1"/>
      <c r="F438" s="1"/>
    </row>
    <row r="439">
      <c r="B439" s="1"/>
      <c r="C439" s="1"/>
      <c r="D439" s="1"/>
      <c r="E439" s="1"/>
      <c r="F439" s="1"/>
    </row>
    <row r="440">
      <c r="B440" s="1"/>
      <c r="C440" s="1"/>
      <c r="D440" s="1"/>
      <c r="E440" s="1"/>
      <c r="F440" s="1"/>
    </row>
    <row r="441">
      <c r="B441" s="1"/>
      <c r="C441" s="1"/>
      <c r="D441" s="1"/>
      <c r="E441" s="1"/>
      <c r="F441" s="1"/>
    </row>
    <row r="442">
      <c r="B442" s="1"/>
      <c r="C442" s="1"/>
      <c r="D442" s="1"/>
      <c r="E442" s="1"/>
      <c r="F442" s="1"/>
    </row>
    <row r="443">
      <c r="B443" s="1"/>
      <c r="C443" s="1"/>
      <c r="D443" s="1"/>
      <c r="E443" s="1"/>
      <c r="F443" s="1"/>
    </row>
    <row r="444">
      <c r="B444" s="1"/>
      <c r="C444" s="1"/>
      <c r="D444" s="1"/>
      <c r="E444" s="1"/>
      <c r="F444" s="1"/>
    </row>
    <row r="445">
      <c r="B445" s="1"/>
      <c r="C445" s="1"/>
      <c r="D445" s="1"/>
      <c r="E445" s="1"/>
      <c r="F445" s="1"/>
    </row>
    <row r="446">
      <c r="B446" s="1"/>
      <c r="C446" s="1"/>
      <c r="D446" s="1"/>
      <c r="E446" s="1"/>
      <c r="F446" s="1"/>
    </row>
    <row r="447">
      <c r="B447" s="1"/>
      <c r="C447" s="1"/>
      <c r="D447" s="1"/>
      <c r="E447" s="1"/>
      <c r="F447" s="1"/>
    </row>
    <row r="448">
      <c r="B448" s="1"/>
      <c r="C448" s="1"/>
      <c r="D448" s="1"/>
      <c r="E448" s="1"/>
      <c r="F448" s="1"/>
    </row>
    <row r="449">
      <c r="B449" s="1"/>
      <c r="C449" s="1"/>
      <c r="D449" s="1"/>
      <c r="E449" s="1"/>
      <c r="F449" s="1"/>
    </row>
    <row r="450">
      <c r="B450" s="1"/>
      <c r="C450" s="1"/>
      <c r="D450" s="1"/>
      <c r="E450" s="1"/>
      <c r="F450" s="1"/>
    </row>
    <row r="451">
      <c r="B451" s="1"/>
      <c r="C451" s="1"/>
      <c r="D451" s="1"/>
      <c r="E451" s="1"/>
      <c r="F451" s="1"/>
    </row>
    <row r="452">
      <c r="B452" s="1"/>
      <c r="C452" s="1"/>
      <c r="D452" s="1"/>
      <c r="E452" s="1"/>
      <c r="F452" s="1"/>
    </row>
    <row r="453">
      <c r="B453" s="1"/>
      <c r="C453" s="1"/>
      <c r="D453" s="1"/>
      <c r="E453" s="1"/>
      <c r="F453" s="1"/>
    </row>
    <row r="454">
      <c r="B454" s="1"/>
      <c r="C454" s="1"/>
      <c r="D454" s="1"/>
      <c r="E454" s="1"/>
      <c r="F454" s="1"/>
    </row>
    <row r="455">
      <c r="B455" s="1"/>
      <c r="C455" s="1"/>
      <c r="D455" s="1"/>
      <c r="E455" s="1"/>
      <c r="F455" s="1"/>
    </row>
    <row r="456">
      <c r="B456" s="1"/>
      <c r="C456" s="1"/>
      <c r="D456" s="1"/>
      <c r="E456" s="1"/>
      <c r="F456" s="1"/>
    </row>
    <row r="457">
      <c r="B457" s="1"/>
      <c r="C457" s="1"/>
      <c r="D457" s="1"/>
      <c r="E457" s="1"/>
      <c r="F457" s="1"/>
    </row>
    <row r="458">
      <c r="B458" s="1"/>
      <c r="C458" s="1"/>
      <c r="D458" s="1"/>
      <c r="E458" s="1"/>
      <c r="F458" s="1"/>
    </row>
    <row r="459">
      <c r="B459" s="1"/>
      <c r="C459" s="1"/>
      <c r="D459" s="1"/>
      <c r="E459" s="1"/>
      <c r="F459" s="1"/>
    </row>
    <row r="460">
      <c r="B460" s="1"/>
      <c r="C460" s="1"/>
      <c r="D460" s="1"/>
      <c r="E460" s="1"/>
      <c r="F460" s="1"/>
    </row>
    <row r="461">
      <c r="B461" s="1"/>
      <c r="C461" s="1"/>
      <c r="D461" s="1"/>
      <c r="E461" s="1"/>
      <c r="F461" s="1"/>
    </row>
    <row r="462">
      <c r="B462" s="1"/>
      <c r="C462" s="1"/>
      <c r="D462" s="1"/>
      <c r="E462" s="1"/>
      <c r="F462" s="1"/>
    </row>
    <row r="463">
      <c r="B463" s="1"/>
      <c r="C463" s="1"/>
      <c r="D463" s="1"/>
      <c r="E463" s="1"/>
      <c r="F463" s="1"/>
    </row>
    <row r="464">
      <c r="B464" s="1"/>
      <c r="C464" s="1"/>
      <c r="D464" s="1"/>
      <c r="E464" s="1"/>
      <c r="F464" s="1"/>
    </row>
    <row r="465">
      <c r="B465" s="1"/>
      <c r="C465" s="1"/>
      <c r="D465" s="1"/>
      <c r="E465" s="1"/>
      <c r="F465" s="1"/>
    </row>
    <row r="466">
      <c r="B466" s="1"/>
      <c r="C466" s="1"/>
      <c r="D466" s="1"/>
      <c r="E466" s="1"/>
      <c r="F466" s="1"/>
    </row>
    <row r="467">
      <c r="B467" s="1"/>
      <c r="C467" s="1"/>
      <c r="D467" s="1"/>
      <c r="E467" s="1"/>
      <c r="F467" s="1"/>
    </row>
    <row r="468">
      <c r="B468" s="1"/>
      <c r="C468" s="1"/>
      <c r="D468" s="1"/>
      <c r="E468" s="1"/>
      <c r="F468" s="1"/>
    </row>
    <row r="469">
      <c r="B469" s="1"/>
      <c r="C469" s="1"/>
      <c r="D469" s="1"/>
      <c r="E469" s="1"/>
      <c r="F469" s="1"/>
    </row>
    <row r="470">
      <c r="B470" s="1"/>
      <c r="C470" s="1"/>
      <c r="D470" s="1"/>
      <c r="E470" s="1"/>
      <c r="F470" s="1"/>
    </row>
    <row r="471">
      <c r="B471" s="1"/>
      <c r="C471" s="1"/>
      <c r="D471" s="1"/>
      <c r="E471" s="1"/>
      <c r="F471" s="1"/>
    </row>
    <row r="472">
      <c r="B472" s="1"/>
      <c r="C472" s="1"/>
      <c r="D472" s="1"/>
      <c r="E472" s="1"/>
      <c r="F472" s="1"/>
    </row>
    <row r="473">
      <c r="B473" s="1"/>
      <c r="C473" s="1"/>
      <c r="D473" s="1"/>
      <c r="E473" s="1"/>
      <c r="F473" s="1"/>
    </row>
    <row r="474">
      <c r="B474" s="1"/>
      <c r="C474" s="1"/>
      <c r="D474" s="1"/>
      <c r="E474" s="1"/>
      <c r="F474" s="1"/>
    </row>
    <row r="475">
      <c r="B475" s="1"/>
      <c r="C475" s="1"/>
      <c r="D475" s="1"/>
      <c r="E475" s="1"/>
      <c r="F475" s="1"/>
    </row>
    <row r="476">
      <c r="B476" s="1"/>
      <c r="C476" s="1"/>
      <c r="D476" s="1"/>
      <c r="E476" s="1"/>
      <c r="F476" s="1"/>
    </row>
    <row r="477">
      <c r="B477" s="1"/>
      <c r="C477" s="1"/>
      <c r="D477" s="1"/>
      <c r="E477" s="1"/>
      <c r="F477" s="1"/>
    </row>
    <row r="478">
      <c r="B478" s="1"/>
      <c r="C478" s="1"/>
      <c r="D478" s="1"/>
      <c r="E478" s="1"/>
      <c r="F478" s="1"/>
    </row>
    <row r="479">
      <c r="B479" s="1"/>
      <c r="C479" s="1"/>
      <c r="D479" s="1"/>
      <c r="E479" s="1"/>
      <c r="F479" s="1"/>
    </row>
    <row r="480">
      <c r="B480" s="1"/>
      <c r="C480" s="1"/>
      <c r="D480" s="1"/>
      <c r="E480" s="1"/>
      <c r="F480" s="1"/>
    </row>
    <row r="481">
      <c r="B481" s="1"/>
      <c r="C481" s="1"/>
      <c r="D481" s="1"/>
      <c r="E481" s="1"/>
      <c r="F481" s="1"/>
    </row>
    <row r="482">
      <c r="B482" s="1"/>
      <c r="C482" s="1"/>
      <c r="D482" s="1"/>
      <c r="E482" s="1"/>
      <c r="F482" s="1"/>
    </row>
    <row r="483">
      <c r="B483" s="1"/>
      <c r="C483" s="1"/>
      <c r="D483" s="1"/>
      <c r="E483" s="1"/>
      <c r="F483" s="1"/>
    </row>
    <row r="484">
      <c r="B484" s="1"/>
      <c r="C484" s="1"/>
      <c r="D484" s="1"/>
      <c r="E484" s="1"/>
      <c r="F484" s="1"/>
    </row>
    <row r="485">
      <c r="B485" s="1"/>
      <c r="C485" s="1"/>
      <c r="D485" s="1"/>
      <c r="E485" s="1"/>
      <c r="F485" s="1"/>
    </row>
    <row r="486">
      <c r="B486" s="1"/>
      <c r="C486" s="1"/>
      <c r="D486" s="1"/>
      <c r="E486" s="1"/>
      <c r="F486" s="1"/>
    </row>
    <row r="487">
      <c r="B487" s="1"/>
      <c r="C487" s="1"/>
      <c r="D487" s="1"/>
      <c r="E487" s="1"/>
      <c r="F487" s="1"/>
    </row>
    <row r="488">
      <c r="B488" s="1"/>
      <c r="C488" s="1"/>
      <c r="D488" s="1"/>
      <c r="E488" s="1"/>
      <c r="F488" s="1"/>
    </row>
    <row r="489">
      <c r="B489" s="1"/>
      <c r="C489" s="1"/>
      <c r="D489" s="1"/>
      <c r="E489" s="1"/>
      <c r="F489" s="1"/>
    </row>
    <row r="490">
      <c r="B490" s="1"/>
      <c r="C490" s="1"/>
      <c r="D490" s="1"/>
      <c r="E490" s="1"/>
      <c r="F490" s="1"/>
    </row>
    <row r="491">
      <c r="B491" s="1"/>
      <c r="C491" s="1"/>
      <c r="D491" s="1"/>
      <c r="E491" s="1"/>
      <c r="F491" s="1"/>
    </row>
    <row r="492">
      <c r="B492" s="1"/>
      <c r="C492" s="1"/>
      <c r="D492" s="1"/>
      <c r="E492" s="1"/>
      <c r="F492" s="1"/>
    </row>
    <row r="493">
      <c r="B493" s="1"/>
      <c r="C493" s="1"/>
      <c r="D493" s="1"/>
      <c r="E493" s="1"/>
      <c r="F493" s="1"/>
    </row>
    <row r="494">
      <c r="B494" s="1"/>
      <c r="C494" s="1"/>
      <c r="D494" s="1"/>
      <c r="E494" s="1"/>
      <c r="F494" s="1"/>
    </row>
    <row r="495">
      <c r="B495" s="1"/>
      <c r="C495" s="1"/>
      <c r="D495" s="1"/>
      <c r="E495" s="1"/>
      <c r="F495" s="1"/>
    </row>
    <row r="496">
      <c r="B496" s="1"/>
      <c r="C496" s="1"/>
      <c r="D496" s="1"/>
      <c r="E496" s="1"/>
      <c r="F496" s="1"/>
    </row>
    <row r="497">
      <c r="B497" s="1"/>
      <c r="C497" s="1"/>
      <c r="D497" s="1"/>
      <c r="E497" s="1"/>
      <c r="F497" s="1"/>
    </row>
    <row r="498">
      <c r="B498" s="1"/>
      <c r="C498" s="1"/>
      <c r="D498" s="1"/>
      <c r="E498" s="1"/>
      <c r="F498" s="1"/>
    </row>
    <row r="499">
      <c r="B499" s="1"/>
      <c r="C499" s="1"/>
      <c r="D499" s="1"/>
      <c r="E499" s="1"/>
      <c r="F499" s="1"/>
    </row>
    <row r="500">
      <c r="B500" s="1"/>
      <c r="C500" s="1"/>
      <c r="D500" s="1"/>
      <c r="E500" s="1"/>
      <c r="F500" s="1"/>
    </row>
    <row r="501">
      <c r="B501" s="1"/>
      <c r="C501" s="1"/>
      <c r="D501" s="1"/>
      <c r="E501" s="1"/>
      <c r="F501" s="1"/>
    </row>
    <row r="502">
      <c r="B502" s="1"/>
      <c r="C502" s="1"/>
      <c r="D502" s="1"/>
      <c r="E502" s="1"/>
      <c r="F502" s="1"/>
    </row>
    <row r="503">
      <c r="B503" s="1"/>
      <c r="C503" s="1"/>
      <c r="D503" s="1"/>
      <c r="E503" s="1"/>
      <c r="F503" s="1"/>
    </row>
    <row r="504">
      <c r="B504" s="1"/>
      <c r="C504" s="1"/>
      <c r="D504" s="1"/>
      <c r="E504" s="1"/>
      <c r="F504" s="1"/>
    </row>
    <row r="505">
      <c r="B505" s="1"/>
      <c r="C505" s="1"/>
      <c r="D505" s="1"/>
      <c r="E505" s="1"/>
      <c r="F505" s="1"/>
    </row>
    <row r="506">
      <c r="B506" s="1"/>
      <c r="C506" s="1"/>
      <c r="D506" s="1"/>
      <c r="E506" s="1"/>
      <c r="F506" s="1"/>
    </row>
    <row r="507">
      <c r="B507" s="1"/>
      <c r="C507" s="1"/>
      <c r="D507" s="1"/>
      <c r="E507" s="1"/>
      <c r="F507" s="1"/>
    </row>
    <row r="508">
      <c r="B508" s="1"/>
      <c r="C508" s="1"/>
      <c r="D508" s="1"/>
      <c r="E508" s="1"/>
      <c r="F508" s="1"/>
    </row>
    <row r="509">
      <c r="B509" s="1"/>
      <c r="C509" s="1"/>
      <c r="D509" s="1"/>
      <c r="E509" s="1"/>
      <c r="F509" s="1"/>
    </row>
    <row r="510">
      <c r="B510" s="1"/>
      <c r="C510" s="1"/>
      <c r="D510" s="1"/>
      <c r="E510" s="1"/>
      <c r="F510" s="1"/>
    </row>
    <row r="511">
      <c r="B511" s="1"/>
      <c r="C511" s="1"/>
      <c r="D511" s="1"/>
      <c r="E511" s="1"/>
      <c r="F511" s="1"/>
    </row>
    <row r="512">
      <c r="B512" s="1"/>
      <c r="C512" s="1"/>
      <c r="D512" s="1"/>
      <c r="E512" s="1"/>
      <c r="F512" s="1"/>
    </row>
    <row r="513">
      <c r="B513" s="1"/>
      <c r="C513" s="1"/>
      <c r="D513" s="1"/>
      <c r="E513" s="1"/>
      <c r="F513" s="1"/>
    </row>
    <row r="514">
      <c r="B514" s="1"/>
      <c r="C514" s="1"/>
      <c r="D514" s="1"/>
      <c r="E514" s="1"/>
      <c r="F514" s="1"/>
    </row>
    <row r="515">
      <c r="B515" s="1"/>
      <c r="C515" s="1"/>
      <c r="D515" s="1"/>
      <c r="E515" s="1"/>
      <c r="F515" s="1"/>
    </row>
    <row r="516">
      <c r="B516" s="1"/>
      <c r="C516" s="1"/>
      <c r="D516" s="1"/>
      <c r="E516" s="1"/>
      <c r="F516" s="1"/>
    </row>
    <row r="517">
      <c r="B517" s="1"/>
      <c r="C517" s="1"/>
      <c r="D517" s="1"/>
      <c r="E517" s="1"/>
      <c r="F517" s="1"/>
    </row>
    <row r="518">
      <c r="B518" s="1"/>
      <c r="C518" s="1"/>
      <c r="D518" s="1"/>
      <c r="E518" s="1"/>
      <c r="F518" s="1"/>
    </row>
    <row r="519">
      <c r="B519" s="1"/>
      <c r="C519" s="1"/>
      <c r="D519" s="1"/>
      <c r="E519" s="1"/>
      <c r="F519" s="1"/>
    </row>
    <row r="520">
      <c r="B520" s="1"/>
      <c r="C520" s="1"/>
      <c r="D520" s="1"/>
      <c r="E520" s="1"/>
      <c r="F520" s="1"/>
    </row>
    <row r="521">
      <c r="B521" s="1"/>
      <c r="C521" s="1"/>
      <c r="D521" s="1"/>
      <c r="E521" s="1"/>
      <c r="F521" s="1"/>
    </row>
    <row r="522">
      <c r="B522" s="1"/>
      <c r="C522" s="1"/>
      <c r="D522" s="1"/>
      <c r="E522" s="1"/>
      <c r="F522" s="1"/>
    </row>
    <row r="523">
      <c r="B523" s="1"/>
      <c r="C523" s="1"/>
      <c r="D523" s="1"/>
      <c r="E523" s="1"/>
      <c r="F523" s="1"/>
    </row>
    <row r="524">
      <c r="B524" s="1"/>
      <c r="C524" s="1"/>
      <c r="D524" s="1"/>
      <c r="E524" s="1"/>
      <c r="F524" s="1"/>
    </row>
    <row r="525">
      <c r="B525" s="1"/>
      <c r="C525" s="1"/>
      <c r="D525" s="1"/>
      <c r="E525" s="1"/>
      <c r="F525" s="1"/>
    </row>
    <row r="526">
      <c r="B526" s="1"/>
      <c r="C526" s="1"/>
      <c r="D526" s="1"/>
      <c r="E526" s="1"/>
      <c r="F526" s="1"/>
    </row>
    <row r="527">
      <c r="B527" s="1"/>
      <c r="C527" s="1"/>
      <c r="D527" s="1"/>
      <c r="E527" s="1"/>
      <c r="F527" s="1"/>
    </row>
    <row r="528">
      <c r="B528" s="1"/>
      <c r="C528" s="1"/>
      <c r="D528" s="1"/>
      <c r="E528" s="1"/>
      <c r="F528" s="1"/>
    </row>
    <row r="529">
      <c r="B529" s="1"/>
      <c r="C529" s="1"/>
      <c r="D529" s="1"/>
      <c r="E529" s="1"/>
      <c r="F529" s="1"/>
    </row>
    <row r="530">
      <c r="B530" s="1"/>
      <c r="C530" s="1"/>
      <c r="D530" s="1"/>
      <c r="E530" s="1"/>
      <c r="F530" s="1"/>
    </row>
    <row r="531">
      <c r="B531" s="1"/>
      <c r="C531" s="1"/>
      <c r="D531" s="1"/>
      <c r="E531" s="1"/>
      <c r="F531" s="1"/>
    </row>
    <row r="532">
      <c r="B532" s="1"/>
      <c r="C532" s="1"/>
      <c r="D532" s="1"/>
      <c r="E532" s="1"/>
      <c r="F532" s="1"/>
    </row>
    <row r="533">
      <c r="B533" s="1"/>
      <c r="C533" s="1"/>
      <c r="D533" s="1"/>
      <c r="E533" s="1"/>
      <c r="F533" s="1"/>
    </row>
    <row r="534">
      <c r="B534" s="1"/>
      <c r="C534" s="1"/>
      <c r="D534" s="1"/>
      <c r="E534" s="1"/>
      <c r="F534" s="1"/>
    </row>
    <row r="535">
      <c r="B535" s="1"/>
      <c r="C535" s="1"/>
      <c r="D535" s="1"/>
      <c r="E535" s="1"/>
      <c r="F535" s="1"/>
    </row>
    <row r="536">
      <c r="B536" s="1"/>
      <c r="C536" s="1"/>
      <c r="D536" s="1"/>
      <c r="E536" s="1"/>
      <c r="F536" s="1"/>
    </row>
    <row r="537">
      <c r="B537" s="1"/>
      <c r="C537" s="1"/>
      <c r="D537" s="1"/>
      <c r="E537" s="1"/>
      <c r="F537" s="1"/>
    </row>
    <row r="538">
      <c r="B538" s="1"/>
      <c r="C538" s="1"/>
      <c r="D538" s="1"/>
      <c r="E538" s="1"/>
      <c r="F538" s="1"/>
    </row>
    <row r="539">
      <c r="B539" s="1"/>
      <c r="C539" s="1"/>
      <c r="D539" s="1"/>
      <c r="E539" s="1"/>
      <c r="F539" s="1"/>
    </row>
    <row r="540">
      <c r="B540" s="1"/>
      <c r="C540" s="1"/>
      <c r="D540" s="1"/>
      <c r="E540" s="1"/>
      <c r="F540" s="1"/>
    </row>
    <row r="541">
      <c r="B541" s="1"/>
      <c r="C541" s="1"/>
      <c r="D541" s="1"/>
      <c r="E541" s="1"/>
      <c r="F541" s="1"/>
    </row>
    <row r="542">
      <c r="B542" s="1"/>
      <c r="C542" s="1"/>
      <c r="D542" s="1"/>
      <c r="E542" s="1"/>
      <c r="F542" s="1"/>
    </row>
    <row r="543">
      <c r="B543" s="1"/>
      <c r="C543" s="1"/>
      <c r="D543" s="1"/>
      <c r="E543" s="1"/>
      <c r="F543" s="1"/>
    </row>
    <row r="544">
      <c r="B544" s="1"/>
      <c r="C544" s="1"/>
      <c r="D544" s="1"/>
      <c r="E544" s="1"/>
      <c r="F544" s="1"/>
    </row>
    <row r="545">
      <c r="B545" s="1"/>
      <c r="C545" s="1"/>
      <c r="D545" s="1"/>
      <c r="E545" s="1"/>
      <c r="F545" s="1"/>
    </row>
    <row r="546">
      <c r="B546" s="1"/>
      <c r="C546" s="1"/>
      <c r="D546" s="1"/>
      <c r="E546" s="1"/>
      <c r="F546" s="1"/>
    </row>
    <row r="547">
      <c r="B547" s="1"/>
      <c r="C547" s="1"/>
      <c r="D547" s="1"/>
      <c r="E547" s="1"/>
      <c r="F547" s="1"/>
    </row>
    <row r="548">
      <c r="B548" s="1"/>
      <c r="C548" s="1"/>
      <c r="D548" s="1"/>
      <c r="E548" s="1"/>
      <c r="F548" s="1"/>
    </row>
    <row r="549">
      <c r="B549" s="1"/>
      <c r="C549" s="1"/>
      <c r="D549" s="1"/>
      <c r="E549" s="1"/>
      <c r="F549" s="1"/>
    </row>
    <row r="550">
      <c r="B550" s="1"/>
      <c r="C550" s="1"/>
      <c r="D550" s="1"/>
      <c r="E550" s="1"/>
      <c r="F550" s="1"/>
    </row>
    <row r="551">
      <c r="B551" s="1"/>
      <c r="C551" s="1"/>
      <c r="D551" s="1"/>
      <c r="E551" s="1"/>
      <c r="F551" s="1"/>
    </row>
    <row r="552">
      <c r="B552" s="1"/>
      <c r="C552" s="1"/>
      <c r="D552" s="1"/>
      <c r="E552" s="1"/>
      <c r="F552" s="1"/>
    </row>
    <row r="553">
      <c r="B553" s="1"/>
      <c r="C553" s="1"/>
      <c r="D553" s="1"/>
      <c r="E553" s="1"/>
      <c r="F553" s="1"/>
    </row>
    <row r="554">
      <c r="B554" s="1"/>
      <c r="C554" s="1"/>
      <c r="D554" s="1"/>
      <c r="E554" s="1"/>
      <c r="F554" s="1"/>
    </row>
    <row r="555">
      <c r="B555" s="1"/>
      <c r="C555" s="1"/>
      <c r="D555" s="1"/>
      <c r="E555" s="1"/>
      <c r="F555" s="1"/>
    </row>
    <row r="556">
      <c r="B556" s="1"/>
      <c r="C556" s="1"/>
      <c r="D556" s="1"/>
      <c r="E556" s="1"/>
      <c r="F556" s="1"/>
    </row>
    <row r="557">
      <c r="B557" s="1"/>
      <c r="C557" s="1"/>
      <c r="D557" s="1"/>
      <c r="E557" s="1"/>
      <c r="F557" s="1"/>
    </row>
    <row r="558">
      <c r="B558" s="1"/>
      <c r="C558" s="1"/>
      <c r="D558" s="1"/>
      <c r="E558" s="1"/>
      <c r="F558" s="1"/>
    </row>
    <row r="559">
      <c r="B559" s="1"/>
      <c r="C559" s="1"/>
      <c r="D559" s="1"/>
      <c r="E559" s="1"/>
      <c r="F559" s="1"/>
    </row>
    <row r="560">
      <c r="B560" s="1"/>
      <c r="C560" s="1"/>
      <c r="D560" s="1"/>
      <c r="E560" s="1"/>
      <c r="F560" s="1"/>
    </row>
    <row r="561">
      <c r="B561" s="1"/>
      <c r="C561" s="1"/>
      <c r="D561" s="1"/>
      <c r="E561" s="1"/>
      <c r="F561" s="1"/>
    </row>
    <row r="562">
      <c r="B562" s="1"/>
      <c r="C562" s="1"/>
      <c r="D562" s="1"/>
      <c r="E562" s="1"/>
      <c r="F562" s="1"/>
    </row>
    <row r="563">
      <c r="B563" s="1"/>
      <c r="C563" s="1"/>
      <c r="D563" s="1"/>
      <c r="E563" s="1"/>
      <c r="F563" s="1"/>
    </row>
    <row r="564">
      <c r="B564" s="1"/>
      <c r="C564" s="1"/>
      <c r="D564" s="1"/>
      <c r="E564" s="1"/>
      <c r="F564" s="1"/>
    </row>
    <row r="565">
      <c r="B565" s="1"/>
      <c r="C565" s="1"/>
      <c r="D565" s="1"/>
      <c r="E565" s="1"/>
      <c r="F565" s="1"/>
    </row>
    <row r="566">
      <c r="B566" s="1"/>
      <c r="C566" s="1"/>
      <c r="D566" s="1"/>
      <c r="E566" s="1"/>
      <c r="F566" s="1"/>
    </row>
    <row r="567">
      <c r="B567" s="1"/>
      <c r="C567" s="1"/>
      <c r="D567" s="1"/>
      <c r="E567" s="1"/>
      <c r="F567" s="1"/>
    </row>
    <row r="568">
      <c r="B568" s="1"/>
      <c r="C568" s="1"/>
      <c r="D568" s="1"/>
      <c r="E568" s="1"/>
      <c r="F568" s="1"/>
    </row>
    <row r="569">
      <c r="B569" s="1"/>
      <c r="C569" s="1"/>
      <c r="D569" s="1"/>
      <c r="E569" s="1"/>
      <c r="F569" s="1"/>
    </row>
    <row r="570">
      <c r="B570" s="1"/>
      <c r="C570" s="1"/>
      <c r="D570" s="1"/>
      <c r="E570" s="1"/>
      <c r="F570" s="1"/>
    </row>
    <row r="571">
      <c r="B571" s="1"/>
      <c r="C571" s="1"/>
      <c r="D571" s="1"/>
      <c r="E571" s="1"/>
      <c r="F571" s="1"/>
    </row>
    <row r="572">
      <c r="B572" s="1"/>
      <c r="C572" s="1"/>
      <c r="D572" s="1"/>
      <c r="E572" s="1"/>
      <c r="F572" s="1"/>
    </row>
    <row r="573">
      <c r="B573" s="1"/>
      <c r="C573" s="1"/>
      <c r="D573" s="1"/>
      <c r="E573" s="1"/>
      <c r="F573" s="1"/>
    </row>
    <row r="574">
      <c r="B574" s="1"/>
      <c r="C574" s="1"/>
      <c r="D574" s="1"/>
      <c r="E574" s="1"/>
      <c r="F574" s="1"/>
    </row>
    <row r="575">
      <c r="B575" s="1"/>
      <c r="C575" s="1"/>
      <c r="D575" s="1"/>
      <c r="E575" s="1"/>
      <c r="F575" s="1"/>
    </row>
    <row r="576">
      <c r="B576" s="1"/>
      <c r="C576" s="1"/>
      <c r="D576" s="1"/>
      <c r="E576" s="1"/>
      <c r="F576" s="1"/>
    </row>
    <row r="577">
      <c r="B577" s="1"/>
      <c r="C577" s="1"/>
      <c r="D577" s="1"/>
      <c r="E577" s="1"/>
      <c r="F577" s="1"/>
    </row>
    <row r="578">
      <c r="B578" s="1"/>
      <c r="C578" s="1"/>
      <c r="D578" s="1"/>
      <c r="E578" s="1"/>
      <c r="F578" s="1"/>
    </row>
    <row r="579">
      <c r="B579" s="1"/>
      <c r="C579" s="1"/>
      <c r="D579" s="1"/>
      <c r="E579" s="1"/>
      <c r="F579" s="1"/>
    </row>
    <row r="580">
      <c r="B580" s="1"/>
      <c r="C580" s="1"/>
      <c r="D580" s="1"/>
      <c r="E580" s="1"/>
      <c r="F580" s="1"/>
    </row>
    <row r="581">
      <c r="B581" s="1"/>
      <c r="C581" s="1"/>
      <c r="D581" s="1"/>
      <c r="E581" s="1"/>
      <c r="F581" s="1"/>
    </row>
    <row r="582">
      <c r="B582" s="1"/>
      <c r="C582" s="1"/>
      <c r="D582" s="1"/>
      <c r="E582" s="1"/>
      <c r="F582" s="1"/>
    </row>
    <row r="583">
      <c r="B583" s="1"/>
      <c r="C583" s="1"/>
      <c r="D583" s="1"/>
      <c r="E583" s="1"/>
      <c r="F583" s="1"/>
    </row>
    <row r="584">
      <c r="B584" s="1"/>
      <c r="C584" s="1"/>
      <c r="D584" s="1"/>
      <c r="E584" s="1"/>
      <c r="F584" s="1"/>
    </row>
    <row r="585">
      <c r="B585" s="1"/>
      <c r="C585" s="1"/>
      <c r="D585" s="1"/>
      <c r="E585" s="1"/>
      <c r="F585" s="1"/>
    </row>
    <row r="586">
      <c r="B586" s="1"/>
      <c r="C586" s="1"/>
      <c r="D586" s="1"/>
      <c r="E586" s="1"/>
      <c r="F586" s="1"/>
    </row>
    <row r="587">
      <c r="B587" s="1"/>
      <c r="C587" s="1"/>
      <c r="D587" s="1"/>
      <c r="E587" s="1"/>
      <c r="F587" s="1"/>
    </row>
    <row r="588">
      <c r="B588" s="1"/>
      <c r="C588" s="1"/>
      <c r="D588" s="1"/>
      <c r="E588" s="1"/>
      <c r="F588" s="1"/>
    </row>
    <row r="589">
      <c r="B589" s="1"/>
      <c r="C589" s="1"/>
      <c r="D589" s="1"/>
      <c r="E589" s="1"/>
      <c r="F589" s="1"/>
    </row>
    <row r="590">
      <c r="B590" s="1"/>
      <c r="C590" s="1"/>
      <c r="D590" s="1"/>
      <c r="E590" s="1"/>
      <c r="F590" s="1"/>
    </row>
    <row r="591">
      <c r="B591" s="1"/>
      <c r="C591" s="1"/>
      <c r="D591" s="1"/>
      <c r="E591" s="1"/>
      <c r="F591" s="1"/>
    </row>
    <row r="592">
      <c r="B592" s="1"/>
      <c r="C592" s="1"/>
      <c r="D592" s="1"/>
      <c r="E592" s="1"/>
      <c r="F592" s="1"/>
    </row>
    <row r="593">
      <c r="B593" s="1"/>
      <c r="C593" s="1"/>
      <c r="D593" s="1"/>
      <c r="E593" s="1"/>
      <c r="F593" s="1"/>
    </row>
    <row r="594">
      <c r="B594" s="1"/>
      <c r="C594" s="1"/>
      <c r="D594" s="1"/>
      <c r="E594" s="1"/>
      <c r="F594" s="1"/>
    </row>
    <row r="595">
      <c r="B595" s="1"/>
      <c r="C595" s="1"/>
      <c r="D595" s="1"/>
      <c r="E595" s="1"/>
      <c r="F595" s="1"/>
    </row>
    <row r="596">
      <c r="B596" s="1"/>
      <c r="C596" s="1"/>
      <c r="D596" s="1"/>
      <c r="E596" s="1"/>
      <c r="F596" s="1"/>
    </row>
    <row r="597">
      <c r="B597" s="1"/>
      <c r="C597" s="1"/>
      <c r="D597" s="1"/>
      <c r="E597" s="1"/>
      <c r="F597" s="1"/>
    </row>
    <row r="598">
      <c r="B598" s="1"/>
      <c r="C598" s="1"/>
      <c r="D598" s="1"/>
      <c r="E598" s="1"/>
      <c r="F598" s="1"/>
    </row>
    <row r="599">
      <c r="B599" s="1"/>
      <c r="C599" s="1"/>
      <c r="D599" s="1"/>
      <c r="E599" s="1"/>
      <c r="F599" s="1"/>
    </row>
    <row r="600">
      <c r="B600" s="1"/>
      <c r="C600" s="1"/>
      <c r="D600" s="1"/>
      <c r="E600" s="1"/>
      <c r="F600" s="1"/>
    </row>
    <row r="601">
      <c r="B601" s="1"/>
      <c r="C601" s="1"/>
      <c r="D601" s="1"/>
      <c r="E601" s="1"/>
      <c r="F601" s="1"/>
    </row>
    <row r="602">
      <c r="B602" s="1"/>
      <c r="C602" s="1"/>
      <c r="D602" s="1"/>
      <c r="E602" s="1"/>
      <c r="F602" s="1"/>
    </row>
    <row r="603">
      <c r="B603" s="1"/>
      <c r="C603" s="1"/>
      <c r="D603" s="1"/>
      <c r="E603" s="1"/>
      <c r="F603" s="1"/>
    </row>
    <row r="604">
      <c r="B604" s="1"/>
      <c r="C604" s="1"/>
      <c r="D604" s="1"/>
      <c r="E604" s="1"/>
      <c r="F604" s="1"/>
    </row>
    <row r="605">
      <c r="B605" s="1"/>
      <c r="C605" s="1"/>
      <c r="D605" s="1"/>
      <c r="E605" s="1"/>
      <c r="F605" s="1"/>
    </row>
    <row r="606">
      <c r="B606" s="1"/>
      <c r="C606" s="1"/>
      <c r="D606" s="1"/>
      <c r="E606" s="1"/>
      <c r="F606" s="1"/>
    </row>
    <row r="607">
      <c r="B607" s="1"/>
      <c r="C607" s="1"/>
      <c r="D607" s="1"/>
      <c r="E607" s="1"/>
      <c r="F607" s="1"/>
    </row>
    <row r="608">
      <c r="B608" s="1"/>
      <c r="C608" s="1"/>
      <c r="D608" s="1"/>
      <c r="E608" s="1"/>
      <c r="F608" s="1"/>
    </row>
    <row r="609">
      <c r="B609" s="1"/>
      <c r="C609" s="1"/>
      <c r="D609" s="1"/>
      <c r="E609" s="1"/>
      <c r="F609" s="1"/>
    </row>
    <row r="610">
      <c r="B610" s="1"/>
      <c r="C610" s="1"/>
      <c r="D610" s="1"/>
      <c r="E610" s="1"/>
      <c r="F610" s="1"/>
    </row>
    <row r="611">
      <c r="B611" s="1"/>
      <c r="C611" s="1"/>
      <c r="D611" s="1"/>
      <c r="E611" s="1"/>
      <c r="F611" s="1"/>
    </row>
    <row r="612">
      <c r="B612" s="1"/>
      <c r="C612" s="1"/>
      <c r="D612" s="1"/>
      <c r="E612" s="1"/>
      <c r="F612" s="1"/>
    </row>
    <row r="613">
      <c r="B613" s="1"/>
      <c r="C613" s="1"/>
      <c r="D613" s="1"/>
      <c r="E613" s="1"/>
      <c r="F613" s="1"/>
    </row>
    <row r="614">
      <c r="B614" s="1"/>
      <c r="C614" s="1"/>
      <c r="D614" s="1"/>
      <c r="E614" s="1"/>
      <c r="F614" s="1"/>
    </row>
    <row r="615">
      <c r="B615" s="1"/>
      <c r="C615" s="1"/>
      <c r="D615" s="1"/>
      <c r="E615" s="1"/>
      <c r="F615" s="1"/>
    </row>
    <row r="616">
      <c r="B616" s="1"/>
      <c r="C616" s="1"/>
      <c r="D616" s="1"/>
      <c r="E616" s="1"/>
      <c r="F616" s="1"/>
    </row>
    <row r="617">
      <c r="B617" s="1"/>
      <c r="C617" s="1"/>
      <c r="D617" s="1"/>
      <c r="E617" s="1"/>
      <c r="F617" s="1"/>
    </row>
    <row r="618">
      <c r="B618" s="1"/>
      <c r="C618" s="1"/>
      <c r="D618" s="1"/>
      <c r="E618" s="1"/>
      <c r="F618" s="1"/>
    </row>
    <row r="619">
      <c r="B619" s="1"/>
      <c r="C619" s="1"/>
      <c r="D619" s="1"/>
      <c r="E619" s="1"/>
      <c r="F619" s="1"/>
    </row>
    <row r="620">
      <c r="B620" s="1"/>
      <c r="C620" s="1"/>
      <c r="D620" s="1"/>
      <c r="E620" s="1"/>
      <c r="F620" s="1"/>
    </row>
    <row r="621">
      <c r="B621" s="1"/>
      <c r="C621" s="1"/>
      <c r="D621" s="1"/>
      <c r="E621" s="1"/>
      <c r="F621" s="1"/>
    </row>
    <row r="622">
      <c r="B622" s="1"/>
      <c r="C622" s="1"/>
      <c r="D622" s="1"/>
      <c r="E622" s="1"/>
      <c r="F622" s="1"/>
    </row>
    <row r="623">
      <c r="B623" s="1"/>
      <c r="C623" s="1"/>
      <c r="D623" s="1"/>
      <c r="E623" s="1"/>
      <c r="F623" s="1"/>
    </row>
    <row r="624">
      <c r="B624" s="1"/>
      <c r="C624" s="1"/>
      <c r="D624" s="1"/>
      <c r="E624" s="1"/>
      <c r="F624" s="1"/>
    </row>
    <row r="625">
      <c r="B625" s="1"/>
      <c r="C625" s="1"/>
      <c r="D625" s="1"/>
      <c r="E625" s="1"/>
      <c r="F625" s="1"/>
    </row>
    <row r="626">
      <c r="B626" s="1"/>
      <c r="C626" s="1"/>
      <c r="D626" s="1"/>
      <c r="E626" s="1"/>
      <c r="F626" s="1"/>
    </row>
    <row r="627">
      <c r="B627" s="1"/>
      <c r="C627" s="1"/>
      <c r="D627" s="1"/>
      <c r="E627" s="1"/>
      <c r="F627" s="1"/>
    </row>
    <row r="628">
      <c r="B628" s="1"/>
      <c r="C628" s="1"/>
      <c r="D628" s="1"/>
      <c r="E628" s="1"/>
      <c r="F628" s="1"/>
    </row>
    <row r="629">
      <c r="B629" s="1"/>
      <c r="C629" s="1"/>
      <c r="D629" s="1"/>
      <c r="E629" s="1"/>
      <c r="F629" s="1"/>
    </row>
    <row r="630">
      <c r="B630" s="1"/>
      <c r="C630" s="1"/>
      <c r="D630" s="1"/>
      <c r="E630" s="1"/>
      <c r="F630" s="1"/>
    </row>
    <row r="631">
      <c r="B631" s="1"/>
      <c r="C631" s="1"/>
      <c r="D631" s="1"/>
      <c r="E631" s="1"/>
      <c r="F631" s="1"/>
    </row>
    <row r="632">
      <c r="B632" s="1"/>
      <c r="C632" s="1"/>
      <c r="D632" s="1"/>
      <c r="E632" s="1"/>
      <c r="F632" s="1"/>
    </row>
    <row r="633">
      <c r="B633" s="1"/>
      <c r="C633" s="1"/>
      <c r="D633" s="1"/>
      <c r="E633" s="1"/>
      <c r="F633" s="1"/>
    </row>
    <row r="634">
      <c r="B634" s="1"/>
      <c r="C634" s="1"/>
      <c r="D634" s="1"/>
      <c r="E634" s="1"/>
      <c r="F634" s="1"/>
    </row>
    <row r="635">
      <c r="B635" s="1"/>
      <c r="C635" s="1"/>
      <c r="D635" s="1"/>
      <c r="E635" s="1"/>
      <c r="F635" s="1"/>
    </row>
    <row r="636">
      <c r="B636" s="1"/>
      <c r="C636" s="1"/>
      <c r="D636" s="1"/>
      <c r="E636" s="1"/>
      <c r="F636" s="1"/>
    </row>
    <row r="637">
      <c r="B637" s="1"/>
      <c r="C637" s="1"/>
      <c r="D637" s="1"/>
      <c r="E637" s="1"/>
      <c r="F637" s="1"/>
    </row>
    <row r="638">
      <c r="B638" s="1"/>
      <c r="C638" s="1"/>
      <c r="D638" s="1"/>
      <c r="E638" s="1"/>
      <c r="F638" s="1"/>
    </row>
    <row r="639">
      <c r="B639" s="1"/>
      <c r="C639" s="1"/>
      <c r="D639" s="1"/>
      <c r="E639" s="1"/>
      <c r="F639" s="1"/>
    </row>
    <row r="640">
      <c r="B640" s="1"/>
      <c r="C640" s="1"/>
      <c r="D640" s="1"/>
      <c r="E640" s="1"/>
      <c r="F640" s="1"/>
    </row>
    <row r="641">
      <c r="B641" s="1"/>
      <c r="C641" s="1"/>
      <c r="D641" s="1"/>
      <c r="E641" s="1"/>
      <c r="F641" s="1"/>
    </row>
    <row r="642">
      <c r="B642" s="1"/>
      <c r="C642" s="1"/>
      <c r="D642" s="1"/>
      <c r="E642" s="1"/>
      <c r="F642" s="1"/>
    </row>
    <row r="643">
      <c r="B643" s="1"/>
      <c r="C643" s="1"/>
      <c r="D643" s="1"/>
      <c r="E643" s="1"/>
      <c r="F643" s="1"/>
    </row>
    <row r="644">
      <c r="B644" s="1"/>
      <c r="C644" s="1"/>
      <c r="D644" s="1"/>
      <c r="E644" s="1"/>
      <c r="F644" s="1"/>
    </row>
    <row r="645">
      <c r="B645" s="1"/>
      <c r="C645" s="1"/>
      <c r="D645" s="1"/>
      <c r="E645" s="1"/>
      <c r="F645" s="1"/>
    </row>
    <row r="646">
      <c r="B646" s="1"/>
      <c r="C646" s="1"/>
      <c r="D646" s="1"/>
      <c r="E646" s="1"/>
      <c r="F646" s="1"/>
    </row>
    <row r="647">
      <c r="B647" s="1"/>
      <c r="C647" s="1"/>
      <c r="D647" s="1"/>
      <c r="E647" s="1"/>
      <c r="F647" s="1"/>
    </row>
    <row r="648">
      <c r="B648" s="1"/>
      <c r="C648" s="1"/>
      <c r="D648" s="1"/>
      <c r="E648" s="1"/>
      <c r="F648" s="1"/>
    </row>
    <row r="649">
      <c r="B649" s="1"/>
      <c r="C649" s="1"/>
      <c r="D649" s="1"/>
      <c r="E649" s="1"/>
      <c r="F649" s="1"/>
    </row>
    <row r="650">
      <c r="B650" s="1"/>
      <c r="C650" s="1"/>
      <c r="D650" s="1"/>
      <c r="E650" s="1"/>
      <c r="F650" s="1"/>
    </row>
    <row r="651">
      <c r="B651" s="1"/>
      <c r="C651" s="1"/>
      <c r="D651" s="1"/>
      <c r="E651" s="1"/>
      <c r="F651" s="1"/>
    </row>
    <row r="652">
      <c r="B652" s="1"/>
      <c r="C652" s="1"/>
      <c r="D652" s="1"/>
      <c r="E652" s="1"/>
      <c r="F652" s="1"/>
    </row>
    <row r="653">
      <c r="B653" s="1"/>
      <c r="C653" s="1"/>
      <c r="D653" s="1"/>
      <c r="E653" s="1"/>
      <c r="F653" s="1"/>
    </row>
    <row r="654">
      <c r="B654" s="1"/>
      <c r="C654" s="1"/>
      <c r="D654" s="1"/>
      <c r="E654" s="1"/>
      <c r="F654" s="1"/>
    </row>
    <row r="655">
      <c r="B655" s="1"/>
      <c r="C655" s="1"/>
      <c r="D655" s="1"/>
      <c r="E655" s="1"/>
      <c r="F655" s="1"/>
    </row>
    <row r="656">
      <c r="B656" s="1"/>
      <c r="C656" s="1"/>
      <c r="D656" s="1"/>
      <c r="E656" s="1"/>
      <c r="F656" s="1"/>
    </row>
    <row r="657">
      <c r="B657" s="1"/>
      <c r="C657" s="1"/>
      <c r="D657" s="1"/>
      <c r="E657" s="1"/>
      <c r="F657" s="1"/>
    </row>
    <row r="658">
      <c r="B658" s="1"/>
      <c r="C658" s="1"/>
      <c r="D658" s="1"/>
      <c r="E658" s="1"/>
      <c r="F658" s="1"/>
    </row>
    <row r="659">
      <c r="B659" s="1"/>
      <c r="C659" s="1"/>
      <c r="D659" s="1"/>
      <c r="E659" s="1"/>
      <c r="F659" s="1"/>
    </row>
    <row r="660">
      <c r="B660" s="1"/>
      <c r="C660" s="1"/>
      <c r="D660" s="1"/>
      <c r="E660" s="1"/>
      <c r="F660" s="1"/>
    </row>
    <row r="661">
      <c r="B661" s="1"/>
      <c r="C661" s="1"/>
      <c r="D661" s="1"/>
      <c r="E661" s="1"/>
      <c r="F661" s="1"/>
    </row>
    <row r="662">
      <c r="B662" s="1"/>
      <c r="C662" s="1"/>
      <c r="D662" s="1"/>
      <c r="E662" s="1"/>
      <c r="F662" s="1"/>
    </row>
    <row r="663">
      <c r="B663" s="1"/>
      <c r="C663" s="1"/>
      <c r="D663" s="1"/>
      <c r="E663" s="1"/>
      <c r="F663" s="1"/>
    </row>
    <row r="664">
      <c r="B664" s="1"/>
      <c r="C664" s="1"/>
      <c r="D664" s="1"/>
      <c r="E664" s="1"/>
      <c r="F664" s="1"/>
    </row>
    <row r="665">
      <c r="B665" s="1"/>
      <c r="C665" s="1"/>
      <c r="D665" s="1"/>
      <c r="E665" s="1"/>
      <c r="F665" s="1"/>
    </row>
    <row r="666">
      <c r="B666" s="1"/>
      <c r="C666" s="1"/>
      <c r="D666" s="1"/>
      <c r="E666" s="1"/>
      <c r="F666" s="1"/>
    </row>
    <row r="667">
      <c r="B667" s="1"/>
      <c r="C667" s="1"/>
      <c r="D667" s="1"/>
      <c r="E667" s="1"/>
      <c r="F667" s="1"/>
    </row>
    <row r="668">
      <c r="B668" s="1"/>
      <c r="C668" s="1"/>
      <c r="D668" s="1"/>
      <c r="E668" s="1"/>
      <c r="F668" s="1"/>
    </row>
    <row r="669">
      <c r="B669" s="1"/>
      <c r="C669" s="1"/>
      <c r="D669" s="1"/>
      <c r="E669" s="1"/>
      <c r="F669" s="1"/>
    </row>
    <row r="670">
      <c r="B670" s="1"/>
      <c r="C670" s="1"/>
      <c r="D670" s="1"/>
      <c r="E670" s="1"/>
      <c r="F670" s="1"/>
    </row>
    <row r="671">
      <c r="B671" s="1"/>
      <c r="C671" s="1"/>
      <c r="D671" s="1"/>
      <c r="E671" s="1"/>
      <c r="F671" s="1"/>
    </row>
    <row r="672">
      <c r="B672" s="1"/>
      <c r="C672" s="1"/>
      <c r="D672" s="1"/>
      <c r="E672" s="1"/>
      <c r="F672" s="1"/>
    </row>
    <row r="673">
      <c r="B673" s="1"/>
      <c r="C673" s="1"/>
      <c r="D673" s="1"/>
      <c r="E673" s="1"/>
      <c r="F673" s="1"/>
    </row>
    <row r="674">
      <c r="B674" s="1"/>
      <c r="C674" s="1"/>
      <c r="D674" s="1"/>
      <c r="E674" s="1"/>
      <c r="F674" s="1"/>
    </row>
    <row r="675">
      <c r="B675" s="1"/>
      <c r="C675" s="1"/>
      <c r="D675" s="1"/>
      <c r="E675" s="1"/>
      <c r="F675" s="1"/>
    </row>
    <row r="676">
      <c r="B676" s="1"/>
      <c r="C676" s="1"/>
      <c r="D676" s="1"/>
      <c r="E676" s="1"/>
      <c r="F676" s="1"/>
    </row>
    <row r="677">
      <c r="B677" s="1"/>
      <c r="C677" s="1"/>
      <c r="D677" s="1"/>
      <c r="E677" s="1"/>
      <c r="F677" s="1"/>
    </row>
    <row r="678">
      <c r="B678" s="1"/>
      <c r="C678" s="1"/>
      <c r="D678" s="1"/>
      <c r="E678" s="1"/>
      <c r="F678" s="1"/>
    </row>
    <row r="679">
      <c r="B679" s="1"/>
      <c r="C679" s="1"/>
      <c r="D679" s="1"/>
      <c r="E679" s="1"/>
      <c r="F679" s="1"/>
    </row>
    <row r="680">
      <c r="B680" s="1"/>
      <c r="C680" s="1"/>
      <c r="D680" s="1"/>
      <c r="E680" s="1"/>
      <c r="F680" s="1"/>
    </row>
    <row r="681">
      <c r="B681" s="1"/>
      <c r="C681" s="1"/>
      <c r="D681" s="1"/>
      <c r="E681" s="1"/>
      <c r="F681" s="1"/>
    </row>
    <row r="682">
      <c r="B682" s="1"/>
      <c r="C682" s="1"/>
      <c r="D682" s="1"/>
      <c r="E682" s="1"/>
      <c r="F682" s="1"/>
    </row>
    <row r="683">
      <c r="B683" s="1"/>
      <c r="C683" s="1"/>
      <c r="D683" s="1"/>
      <c r="E683" s="1"/>
      <c r="F683" s="1"/>
    </row>
    <row r="684">
      <c r="B684" s="1"/>
      <c r="C684" s="1"/>
      <c r="D684" s="1"/>
      <c r="E684" s="1"/>
      <c r="F684" s="1"/>
    </row>
    <row r="685">
      <c r="B685" s="1"/>
      <c r="C685" s="1"/>
      <c r="D685" s="1"/>
      <c r="E685" s="1"/>
      <c r="F685" s="1"/>
    </row>
    <row r="686">
      <c r="B686" s="1"/>
      <c r="C686" s="1"/>
      <c r="D686" s="1"/>
      <c r="E686" s="1"/>
      <c r="F686" s="1"/>
    </row>
    <row r="687">
      <c r="B687" s="1"/>
      <c r="C687" s="1"/>
      <c r="D687" s="1"/>
      <c r="E687" s="1"/>
      <c r="F687" s="1"/>
    </row>
    <row r="688">
      <c r="B688" s="1"/>
      <c r="C688" s="1"/>
      <c r="D688" s="1"/>
      <c r="E688" s="1"/>
      <c r="F688" s="1"/>
    </row>
    <row r="689">
      <c r="B689" s="1"/>
      <c r="C689" s="1"/>
      <c r="D689" s="1"/>
      <c r="E689" s="1"/>
      <c r="F689" s="1"/>
    </row>
    <row r="690">
      <c r="B690" s="1"/>
      <c r="C690" s="1"/>
      <c r="D690" s="1"/>
      <c r="E690" s="1"/>
      <c r="F690" s="1"/>
    </row>
    <row r="691">
      <c r="B691" s="1"/>
      <c r="C691" s="1"/>
      <c r="D691" s="1"/>
      <c r="E691" s="1"/>
      <c r="F691" s="1"/>
    </row>
    <row r="692">
      <c r="B692" s="1"/>
      <c r="C692" s="1"/>
      <c r="D692" s="1"/>
      <c r="E692" s="1"/>
      <c r="F692" s="1"/>
    </row>
    <row r="693">
      <c r="B693" s="1"/>
      <c r="C693" s="1"/>
      <c r="D693" s="1"/>
      <c r="E693" s="1"/>
      <c r="F693" s="1"/>
    </row>
    <row r="694">
      <c r="B694" s="1"/>
      <c r="C694" s="1"/>
      <c r="D694" s="1"/>
      <c r="E694" s="1"/>
      <c r="F694" s="1"/>
    </row>
    <row r="695">
      <c r="B695" s="1"/>
      <c r="C695" s="1"/>
      <c r="D695" s="1"/>
      <c r="E695" s="1"/>
      <c r="F695" s="1"/>
    </row>
    <row r="696">
      <c r="B696" s="1"/>
      <c r="C696" s="1"/>
      <c r="D696" s="1"/>
      <c r="E696" s="1"/>
      <c r="F696" s="1"/>
    </row>
    <row r="697">
      <c r="B697" s="1"/>
      <c r="C697" s="1"/>
      <c r="D697" s="1"/>
      <c r="E697" s="1"/>
      <c r="F697" s="1"/>
    </row>
    <row r="698">
      <c r="B698" s="1"/>
      <c r="C698" s="1"/>
      <c r="D698" s="1"/>
      <c r="E698" s="1"/>
      <c r="F698" s="1"/>
    </row>
    <row r="699">
      <c r="B699" s="1"/>
      <c r="C699" s="1"/>
      <c r="D699" s="1"/>
      <c r="E699" s="1"/>
      <c r="F699" s="1"/>
    </row>
    <row r="700">
      <c r="B700" s="1"/>
      <c r="C700" s="1"/>
      <c r="D700" s="1"/>
      <c r="E700" s="1"/>
      <c r="F700" s="1"/>
    </row>
    <row r="701">
      <c r="B701" s="1"/>
      <c r="C701" s="1"/>
      <c r="D701" s="1"/>
      <c r="E701" s="1"/>
      <c r="F701" s="1"/>
    </row>
    <row r="702">
      <c r="B702" s="1"/>
      <c r="C702" s="1"/>
      <c r="D702" s="1"/>
      <c r="E702" s="1"/>
      <c r="F702" s="1"/>
    </row>
    <row r="703">
      <c r="B703" s="1"/>
      <c r="C703" s="1"/>
      <c r="D703" s="1"/>
      <c r="E703" s="1"/>
      <c r="F703" s="1"/>
    </row>
    <row r="704">
      <c r="B704" s="1"/>
      <c r="C704" s="1"/>
      <c r="D704" s="1"/>
      <c r="E704" s="1"/>
      <c r="F704" s="1"/>
    </row>
    <row r="705">
      <c r="B705" s="1"/>
      <c r="C705" s="1"/>
      <c r="D705" s="1"/>
      <c r="E705" s="1"/>
      <c r="F705" s="1"/>
    </row>
    <row r="706">
      <c r="B706" s="1"/>
      <c r="C706" s="1"/>
      <c r="D706" s="1"/>
      <c r="E706" s="1"/>
      <c r="F706" s="1"/>
    </row>
    <row r="707">
      <c r="B707" s="1"/>
      <c r="C707" s="1"/>
      <c r="D707" s="1"/>
      <c r="E707" s="1"/>
      <c r="F707" s="1"/>
    </row>
    <row r="708">
      <c r="B708" s="1"/>
      <c r="C708" s="1"/>
      <c r="D708" s="1"/>
      <c r="E708" s="1"/>
      <c r="F708" s="1"/>
    </row>
    <row r="709">
      <c r="B709" s="1"/>
      <c r="C709" s="1"/>
      <c r="D709" s="1"/>
      <c r="E709" s="1"/>
      <c r="F709" s="1"/>
    </row>
    <row r="710">
      <c r="B710" s="1"/>
      <c r="C710" s="1"/>
      <c r="D710" s="1"/>
      <c r="E710" s="1"/>
      <c r="F710" s="1"/>
    </row>
    <row r="711">
      <c r="B711" s="1"/>
      <c r="C711" s="1"/>
      <c r="D711" s="1"/>
      <c r="E711" s="1"/>
      <c r="F711" s="1"/>
    </row>
    <row r="712">
      <c r="B712" s="1"/>
      <c r="C712" s="1"/>
      <c r="D712" s="1"/>
      <c r="E712" s="1"/>
      <c r="F712" s="1"/>
    </row>
    <row r="713">
      <c r="B713" s="1"/>
      <c r="C713" s="1"/>
      <c r="D713" s="1"/>
      <c r="E713" s="1"/>
      <c r="F713" s="1"/>
    </row>
    <row r="714">
      <c r="B714" s="1"/>
      <c r="C714" s="1"/>
      <c r="D714" s="1"/>
      <c r="E714" s="1"/>
      <c r="F714" s="1"/>
    </row>
    <row r="715">
      <c r="B715" s="1"/>
      <c r="C715" s="1"/>
      <c r="D715" s="1"/>
      <c r="E715" s="1"/>
      <c r="F715" s="1"/>
    </row>
    <row r="716">
      <c r="B716" s="1"/>
      <c r="C716" s="1"/>
      <c r="D716" s="1"/>
      <c r="E716" s="1"/>
      <c r="F716" s="1"/>
    </row>
    <row r="717">
      <c r="B717" s="1"/>
      <c r="C717" s="1"/>
      <c r="D717" s="1"/>
      <c r="E717" s="1"/>
      <c r="F717" s="1"/>
    </row>
    <row r="718">
      <c r="B718" s="1"/>
      <c r="C718" s="1"/>
      <c r="D718" s="1"/>
      <c r="E718" s="1"/>
      <c r="F718" s="1"/>
    </row>
    <row r="719">
      <c r="B719" s="1"/>
      <c r="C719" s="1"/>
      <c r="D719" s="1"/>
      <c r="E719" s="1"/>
      <c r="F719" s="1"/>
    </row>
    <row r="720">
      <c r="B720" s="1"/>
      <c r="C720" s="1"/>
      <c r="D720" s="1"/>
      <c r="E720" s="1"/>
      <c r="F720" s="1"/>
    </row>
    <row r="721">
      <c r="B721" s="1"/>
      <c r="C721" s="1"/>
      <c r="D721" s="1"/>
      <c r="E721" s="1"/>
      <c r="F721" s="1"/>
    </row>
    <row r="722">
      <c r="B722" s="1"/>
      <c r="C722" s="1"/>
      <c r="D722" s="1"/>
      <c r="E722" s="1"/>
      <c r="F722" s="1"/>
    </row>
    <row r="723">
      <c r="B723" s="1"/>
      <c r="C723" s="1"/>
      <c r="D723" s="1"/>
      <c r="E723" s="1"/>
      <c r="F723" s="1"/>
    </row>
    <row r="724">
      <c r="B724" s="1"/>
      <c r="C724" s="1"/>
      <c r="D724" s="1"/>
      <c r="E724" s="1"/>
      <c r="F724" s="1"/>
    </row>
    <row r="725">
      <c r="B725" s="1"/>
      <c r="C725" s="1"/>
      <c r="D725" s="1"/>
      <c r="E725" s="1"/>
      <c r="F725" s="1"/>
    </row>
    <row r="726">
      <c r="B726" s="1"/>
      <c r="C726" s="1"/>
      <c r="D726" s="1"/>
      <c r="E726" s="1"/>
      <c r="F726" s="1"/>
    </row>
    <row r="727">
      <c r="B727" s="1"/>
      <c r="C727" s="1"/>
      <c r="D727" s="1"/>
      <c r="E727" s="1"/>
      <c r="F727" s="1"/>
    </row>
    <row r="728">
      <c r="B728" s="1"/>
      <c r="C728" s="1"/>
      <c r="D728" s="1"/>
      <c r="E728" s="1"/>
      <c r="F728" s="1"/>
    </row>
    <row r="729">
      <c r="B729" s="1"/>
      <c r="C729" s="1"/>
      <c r="D729" s="1"/>
      <c r="E729" s="1"/>
      <c r="F729" s="1"/>
    </row>
    <row r="730">
      <c r="B730" s="1"/>
      <c r="C730" s="1"/>
      <c r="D730" s="1"/>
      <c r="E730" s="1"/>
      <c r="F730" s="1"/>
    </row>
    <row r="731">
      <c r="B731" s="1"/>
      <c r="C731" s="1"/>
      <c r="D731" s="1"/>
      <c r="E731" s="1"/>
      <c r="F731" s="1"/>
    </row>
    <row r="732">
      <c r="B732" s="1"/>
      <c r="C732" s="1"/>
      <c r="D732" s="1"/>
      <c r="E732" s="1"/>
      <c r="F732" s="1"/>
    </row>
    <row r="733">
      <c r="B733" s="1"/>
      <c r="C733" s="1"/>
      <c r="D733" s="1"/>
      <c r="E733" s="1"/>
      <c r="F733" s="1"/>
    </row>
    <row r="734">
      <c r="B734" s="1"/>
      <c r="C734" s="1"/>
      <c r="D734" s="1"/>
      <c r="E734" s="1"/>
      <c r="F734" s="1"/>
    </row>
    <row r="735">
      <c r="B735" s="1"/>
      <c r="C735" s="1"/>
      <c r="D735" s="1"/>
      <c r="E735" s="1"/>
      <c r="F735" s="1"/>
    </row>
    <row r="736">
      <c r="B736" s="1"/>
      <c r="C736" s="1"/>
      <c r="D736" s="1"/>
      <c r="E736" s="1"/>
      <c r="F736" s="1"/>
    </row>
    <row r="737">
      <c r="B737" s="1"/>
      <c r="C737" s="1"/>
      <c r="D737" s="1"/>
      <c r="E737" s="1"/>
      <c r="F737" s="1"/>
    </row>
    <row r="738">
      <c r="B738" s="1"/>
      <c r="C738" s="1"/>
      <c r="D738" s="1"/>
      <c r="E738" s="1"/>
      <c r="F738" s="1"/>
    </row>
    <row r="739">
      <c r="B739" s="1"/>
      <c r="C739" s="1"/>
      <c r="D739" s="1"/>
      <c r="E739" s="1"/>
      <c r="F739" s="1"/>
    </row>
    <row r="740">
      <c r="B740" s="1"/>
      <c r="C740" s="1"/>
      <c r="D740" s="1"/>
      <c r="E740" s="1"/>
      <c r="F740" s="1"/>
    </row>
    <row r="741">
      <c r="B741" s="1"/>
      <c r="C741" s="1"/>
      <c r="D741" s="1"/>
      <c r="E741" s="1"/>
      <c r="F741" s="1"/>
    </row>
    <row r="742">
      <c r="B742" s="1"/>
      <c r="C742" s="1"/>
      <c r="D742" s="1"/>
      <c r="E742" s="1"/>
      <c r="F742" s="1"/>
    </row>
    <row r="743">
      <c r="B743" s="1"/>
      <c r="C743" s="1"/>
      <c r="D743" s="1"/>
      <c r="E743" s="1"/>
      <c r="F743" s="1"/>
    </row>
    <row r="744">
      <c r="B744" s="1"/>
      <c r="C744" s="1"/>
      <c r="D744" s="1"/>
      <c r="E744" s="1"/>
      <c r="F744" s="1"/>
    </row>
    <row r="745">
      <c r="B745" s="1"/>
      <c r="C745" s="1"/>
      <c r="D745" s="1"/>
      <c r="E745" s="1"/>
      <c r="F745" s="1"/>
    </row>
    <row r="746">
      <c r="B746" s="1"/>
      <c r="C746" s="1"/>
      <c r="D746" s="1"/>
      <c r="E746" s="1"/>
      <c r="F746" s="1"/>
    </row>
    <row r="747">
      <c r="B747" s="1"/>
      <c r="C747" s="1"/>
      <c r="D747" s="1"/>
      <c r="E747" s="1"/>
      <c r="F747" s="1"/>
    </row>
    <row r="748">
      <c r="B748" s="1"/>
      <c r="C748" s="1"/>
      <c r="D748" s="1"/>
      <c r="E748" s="1"/>
      <c r="F748" s="1"/>
    </row>
    <row r="749">
      <c r="B749" s="1"/>
      <c r="C749" s="1"/>
      <c r="D749" s="1"/>
      <c r="E749" s="1"/>
      <c r="F749" s="1"/>
    </row>
    <row r="750">
      <c r="B750" s="1"/>
      <c r="C750" s="1"/>
      <c r="D750" s="1"/>
      <c r="E750" s="1"/>
      <c r="F750" s="1"/>
    </row>
    <row r="751">
      <c r="B751" s="1"/>
      <c r="C751" s="1"/>
      <c r="D751" s="1"/>
      <c r="E751" s="1"/>
      <c r="F751" s="1"/>
    </row>
    <row r="752">
      <c r="B752" s="1"/>
      <c r="C752" s="1"/>
      <c r="D752" s="1"/>
      <c r="E752" s="1"/>
      <c r="F752" s="1"/>
    </row>
    <row r="753">
      <c r="B753" s="1"/>
      <c r="C753" s="1"/>
      <c r="D753" s="1"/>
      <c r="E753" s="1"/>
      <c r="F753" s="1"/>
    </row>
    <row r="754">
      <c r="B754" s="1"/>
      <c r="C754" s="1"/>
      <c r="D754" s="1"/>
      <c r="E754" s="1"/>
      <c r="F754" s="1"/>
    </row>
    <row r="755">
      <c r="B755" s="1"/>
      <c r="C755" s="1"/>
      <c r="D755" s="1"/>
      <c r="E755" s="1"/>
      <c r="F755" s="1"/>
    </row>
    <row r="756">
      <c r="B756" s="1"/>
      <c r="C756" s="1"/>
      <c r="D756" s="1"/>
      <c r="E756" s="1"/>
      <c r="F756" s="1"/>
    </row>
    <row r="757">
      <c r="B757" s="1"/>
      <c r="C757" s="1"/>
      <c r="D757" s="1"/>
      <c r="E757" s="1"/>
      <c r="F757" s="1"/>
    </row>
    <row r="758">
      <c r="B758" s="1"/>
      <c r="C758" s="1"/>
      <c r="D758" s="1"/>
      <c r="E758" s="1"/>
      <c r="F758" s="1"/>
    </row>
    <row r="759">
      <c r="B759" s="1"/>
      <c r="C759" s="1"/>
      <c r="D759" s="1"/>
      <c r="E759" s="1"/>
      <c r="F759" s="1"/>
    </row>
    <row r="760">
      <c r="B760" s="1"/>
      <c r="C760" s="1"/>
      <c r="D760" s="1"/>
      <c r="E760" s="1"/>
      <c r="F760" s="1"/>
    </row>
    <row r="761">
      <c r="B761" s="1"/>
      <c r="C761" s="1"/>
      <c r="D761" s="1"/>
      <c r="E761" s="1"/>
      <c r="F761" s="1"/>
    </row>
    <row r="762">
      <c r="B762" s="1"/>
      <c r="C762" s="1"/>
      <c r="D762" s="1"/>
      <c r="E762" s="1"/>
      <c r="F762" s="1"/>
    </row>
    <row r="763">
      <c r="B763" s="1"/>
      <c r="C763" s="1"/>
      <c r="D763" s="1"/>
      <c r="E763" s="1"/>
      <c r="F763" s="1"/>
    </row>
    <row r="764">
      <c r="B764" s="1"/>
      <c r="C764" s="1"/>
      <c r="D764" s="1"/>
      <c r="E764" s="1"/>
      <c r="F764" s="1"/>
    </row>
    <row r="765">
      <c r="B765" s="1"/>
      <c r="C765" s="1"/>
      <c r="D765" s="1"/>
      <c r="E765" s="1"/>
      <c r="F765" s="1"/>
    </row>
    <row r="766">
      <c r="B766" s="1"/>
      <c r="C766" s="1"/>
      <c r="D766" s="1"/>
      <c r="E766" s="1"/>
      <c r="F766" s="1"/>
    </row>
    <row r="767">
      <c r="B767" s="1"/>
      <c r="C767" s="1"/>
      <c r="D767" s="1"/>
      <c r="E767" s="1"/>
      <c r="F767" s="1"/>
    </row>
    <row r="768">
      <c r="B768" s="1"/>
      <c r="C768" s="1"/>
      <c r="D768" s="1"/>
      <c r="E768" s="1"/>
      <c r="F768" s="1"/>
    </row>
    <row r="769">
      <c r="B769" s="1"/>
      <c r="C769" s="1"/>
      <c r="D769" s="1"/>
      <c r="E769" s="1"/>
      <c r="F769" s="1"/>
    </row>
    <row r="770">
      <c r="B770" s="1"/>
      <c r="C770" s="1"/>
      <c r="D770" s="1"/>
      <c r="E770" s="1"/>
      <c r="F770" s="1"/>
    </row>
    <row r="771">
      <c r="B771" s="1"/>
      <c r="C771" s="1"/>
      <c r="D771" s="1"/>
      <c r="E771" s="1"/>
      <c r="F771" s="1"/>
    </row>
    <row r="772">
      <c r="B772" s="1"/>
      <c r="C772" s="1"/>
      <c r="D772" s="1"/>
      <c r="E772" s="1"/>
      <c r="F772" s="1"/>
    </row>
    <row r="773">
      <c r="B773" s="1"/>
      <c r="C773" s="1"/>
      <c r="D773" s="1"/>
      <c r="E773" s="1"/>
      <c r="F773" s="1"/>
    </row>
    <row r="774">
      <c r="B774" s="1"/>
      <c r="C774" s="1"/>
      <c r="D774" s="1"/>
      <c r="E774" s="1"/>
      <c r="F774" s="1"/>
    </row>
    <row r="775">
      <c r="B775" s="1"/>
      <c r="C775" s="1"/>
      <c r="D775" s="1"/>
      <c r="E775" s="1"/>
      <c r="F775" s="1"/>
    </row>
    <row r="776">
      <c r="B776" s="1"/>
      <c r="C776" s="1"/>
      <c r="D776" s="1"/>
      <c r="E776" s="1"/>
      <c r="F776" s="1"/>
    </row>
    <row r="777">
      <c r="B777" s="1"/>
      <c r="C777" s="1"/>
      <c r="D777" s="1"/>
      <c r="E777" s="1"/>
      <c r="F777" s="1"/>
    </row>
    <row r="778">
      <c r="B778" s="1"/>
      <c r="C778" s="1"/>
      <c r="D778" s="1"/>
      <c r="E778" s="1"/>
      <c r="F778" s="1"/>
    </row>
    <row r="779">
      <c r="B779" s="1"/>
      <c r="C779" s="1"/>
      <c r="D779" s="1"/>
      <c r="E779" s="1"/>
      <c r="F779" s="1"/>
    </row>
    <row r="780">
      <c r="B780" s="1"/>
      <c r="C780" s="1"/>
      <c r="D780" s="1"/>
      <c r="E780" s="1"/>
      <c r="F780" s="1"/>
    </row>
    <row r="781">
      <c r="B781" s="1"/>
      <c r="C781" s="1"/>
      <c r="D781" s="1"/>
      <c r="E781" s="1"/>
      <c r="F781" s="1"/>
    </row>
    <row r="782">
      <c r="B782" s="1"/>
      <c r="C782" s="1"/>
      <c r="D782" s="1"/>
      <c r="E782" s="1"/>
      <c r="F782" s="1"/>
    </row>
    <row r="783">
      <c r="B783" s="1"/>
      <c r="C783" s="1"/>
      <c r="D783" s="1"/>
      <c r="E783" s="1"/>
      <c r="F783" s="1"/>
    </row>
    <row r="784">
      <c r="B784" s="1"/>
      <c r="C784" s="1"/>
      <c r="D784" s="1"/>
      <c r="E784" s="1"/>
      <c r="F784" s="1"/>
    </row>
    <row r="785">
      <c r="B785" s="1"/>
      <c r="C785" s="1"/>
      <c r="D785" s="1"/>
      <c r="E785" s="1"/>
      <c r="F785" s="1"/>
    </row>
    <row r="786">
      <c r="B786" s="1"/>
      <c r="C786" s="1"/>
      <c r="D786" s="1"/>
      <c r="E786" s="1"/>
      <c r="F786" s="1"/>
    </row>
    <row r="787">
      <c r="B787" s="1"/>
      <c r="C787" s="1"/>
      <c r="D787" s="1"/>
      <c r="E787" s="1"/>
      <c r="F787" s="1"/>
    </row>
    <row r="788">
      <c r="B788" s="1"/>
      <c r="C788" s="1"/>
      <c r="D788" s="1"/>
      <c r="E788" s="1"/>
      <c r="F788" s="1"/>
    </row>
    <row r="789">
      <c r="B789" s="1"/>
      <c r="C789" s="1"/>
      <c r="D789" s="1"/>
      <c r="E789" s="1"/>
      <c r="F789" s="1"/>
    </row>
    <row r="790">
      <c r="B790" s="1"/>
      <c r="C790" s="1"/>
      <c r="D790" s="1"/>
      <c r="E790" s="1"/>
      <c r="F790" s="1"/>
    </row>
    <row r="791">
      <c r="B791" s="1"/>
      <c r="C791" s="1"/>
      <c r="D791" s="1"/>
      <c r="E791" s="1"/>
      <c r="F791" s="1"/>
    </row>
    <row r="792">
      <c r="B792" s="1"/>
      <c r="C792" s="1"/>
      <c r="D792" s="1"/>
      <c r="E792" s="1"/>
      <c r="F792" s="1"/>
    </row>
    <row r="793">
      <c r="B793" s="1"/>
      <c r="C793" s="1"/>
      <c r="D793" s="1"/>
      <c r="E793" s="1"/>
      <c r="F793" s="1"/>
    </row>
    <row r="794">
      <c r="B794" s="1"/>
      <c r="C794" s="1"/>
      <c r="D794" s="1"/>
      <c r="E794" s="1"/>
      <c r="F794" s="1"/>
    </row>
    <row r="795">
      <c r="B795" s="1"/>
      <c r="C795" s="1"/>
      <c r="D795" s="1"/>
      <c r="E795" s="1"/>
      <c r="F795" s="1"/>
    </row>
    <row r="796">
      <c r="B796" s="1"/>
      <c r="C796" s="1"/>
      <c r="D796" s="1"/>
      <c r="E796" s="1"/>
      <c r="F796" s="1"/>
    </row>
    <row r="797">
      <c r="B797" s="1"/>
      <c r="C797" s="1"/>
      <c r="D797" s="1"/>
      <c r="E797" s="1"/>
      <c r="F797" s="1"/>
    </row>
    <row r="798">
      <c r="B798" s="1"/>
      <c r="C798" s="1"/>
      <c r="D798" s="1"/>
      <c r="E798" s="1"/>
      <c r="F798" s="1"/>
    </row>
    <row r="799">
      <c r="B799" s="1"/>
      <c r="C799" s="1"/>
      <c r="D799" s="1"/>
      <c r="E799" s="1"/>
      <c r="F799" s="1"/>
    </row>
    <row r="800">
      <c r="B800" s="1"/>
      <c r="C800" s="1"/>
      <c r="D800" s="1"/>
      <c r="E800" s="1"/>
      <c r="F800" s="1"/>
    </row>
    <row r="801">
      <c r="B801" s="1"/>
      <c r="C801" s="1"/>
      <c r="D801" s="1"/>
      <c r="E801" s="1"/>
      <c r="F801" s="1"/>
    </row>
    <row r="802">
      <c r="B802" s="1"/>
      <c r="C802" s="1"/>
      <c r="D802" s="1"/>
      <c r="E802" s="1"/>
      <c r="F802" s="1"/>
    </row>
    <row r="803">
      <c r="B803" s="1"/>
      <c r="C803" s="1"/>
      <c r="D803" s="1"/>
      <c r="E803" s="1"/>
      <c r="F803" s="1"/>
    </row>
    <row r="804">
      <c r="B804" s="1"/>
      <c r="C804" s="1"/>
      <c r="D804" s="1"/>
      <c r="E804" s="1"/>
      <c r="F804" s="1"/>
    </row>
    <row r="805">
      <c r="B805" s="1"/>
      <c r="C805" s="1"/>
      <c r="D805" s="1"/>
      <c r="E805" s="1"/>
      <c r="F805" s="1"/>
    </row>
    <row r="806">
      <c r="B806" s="1"/>
      <c r="C806" s="1"/>
      <c r="D806" s="1"/>
      <c r="E806" s="1"/>
      <c r="F806" s="1"/>
    </row>
    <row r="807">
      <c r="B807" s="1"/>
      <c r="C807" s="1"/>
      <c r="D807" s="1"/>
      <c r="E807" s="1"/>
      <c r="F807" s="1"/>
    </row>
    <row r="808">
      <c r="B808" s="1"/>
      <c r="C808" s="1"/>
      <c r="D808" s="1"/>
      <c r="E808" s="1"/>
      <c r="F808" s="1"/>
    </row>
    <row r="809">
      <c r="B809" s="1"/>
      <c r="C809" s="1"/>
      <c r="D809" s="1"/>
      <c r="E809" s="1"/>
      <c r="F809" s="1"/>
    </row>
    <row r="810">
      <c r="B810" s="1"/>
      <c r="C810" s="1"/>
      <c r="D810" s="1"/>
      <c r="E810" s="1"/>
      <c r="F810" s="1"/>
    </row>
    <row r="811">
      <c r="B811" s="1"/>
      <c r="C811" s="1"/>
      <c r="D811" s="1"/>
      <c r="E811" s="1"/>
      <c r="F811" s="1"/>
    </row>
    <row r="812">
      <c r="B812" s="1"/>
      <c r="C812" s="1"/>
      <c r="D812" s="1"/>
      <c r="E812" s="1"/>
      <c r="F812" s="1"/>
    </row>
    <row r="813">
      <c r="B813" s="1"/>
      <c r="C813" s="1"/>
      <c r="D813" s="1"/>
      <c r="E813" s="1"/>
      <c r="F813" s="1"/>
    </row>
    <row r="814">
      <c r="B814" s="1"/>
      <c r="C814" s="1"/>
      <c r="D814" s="1"/>
      <c r="E814" s="1"/>
      <c r="F814" s="1"/>
    </row>
    <row r="815">
      <c r="B815" s="1"/>
      <c r="C815" s="1"/>
      <c r="D815" s="1"/>
      <c r="E815" s="1"/>
      <c r="F815" s="1"/>
    </row>
    <row r="816">
      <c r="B816" s="1"/>
      <c r="C816" s="1"/>
      <c r="D816" s="1"/>
      <c r="E816" s="1"/>
      <c r="F816" s="1"/>
    </row>
    <row r="817">
      <c r="B817" s="1"/>
      <c r="C817" s="1"/>
      <c r="D817" s="1"/>
      <c r="E817" s="1"/>
      <c r="F817" s="1"/>
    </row>
    <row r="818">
      <c r="B818" s="1"/>
      <c r="C818" s="1"/>
      <c r="D818" s="1"/>
      <c r="E818" s="1"/>
      <c r="F818" s="1"/>
    </row>
    <row r="819">
      <c r="B819" s="1"/>
      <c r="C819" s="1"/>
      <c r="D819" s="1"/>
      <c r="E819" s="1"/>
      <c r="F819" s="1"/>
    </row>
    <row r="820">
      <c r="B820" s="1"/>
      <c r="C820" s="1"/>
      <c r="D820" s="1"/>
      <c r="E820" s="1"/>
      <c r="F820" s="1"/>
    </row>
    <row r="821">
      <c r="B821" s="1"/>
      <c r="C821" s="1"/>
      <c r="D821" s="1"/>
      <c r="E821" s="1"/>
      <c r="F821" s="1"/>
    </row>
    <row r="822">
      <c r="B822" s="1"/>
      <c r="C822" s="1"/>
      <c r="D822" s="1"/>
      <c r="E822" s="1"/>
      <c r="F822" s="1"/>
    </row>
    <row r="823">
      <c r="B823" s="1"/>
      <c r="C823" s="1"/>
      <c r="D823" s="1"/>
      <c r="E823" s="1"/>
      <c r="F823" s="1"/>
    </row>
    <row r="824">
      <c r="B824" s="1"/>
      <c r="C824" s="1"/>
      <c r="D824" s="1"/>
      <c r="E824" s="1"/>
      <c r="F824" s="1"/>
    </row>
    <row r="825">
      <c r="B825" s="1"/>
      <c r="C825" s="1"/>
      <c r="D825" s="1"/>
      <c r="E825" s="1"/>
      <c r="F825" s="1"/>
    </row>
    <row r="826">
      <c r="B826" s="1"/>
      <c r="C826" s="1"/>
      <c r="D826" s="1"/>
      <c r="E826" s="1"/>
      <c r="F826" s="1"/>
    </row>
    <row r="827">
      <c r="B827" s="1"/>
      <c r="C827" s="1"/>
      <c r="D827" s="1"/>
      <c r="E827" s="1"/>
      <c r="F827" s="1"/>
    </row>
    <row r="828">
      <c r="B828" s="1"/>
      <c r="C828" s="1"/>
      <c r="D828" s="1"/>
      <c r="E828" s="1"/>
      <c r="F828" s="1"/>
    </row>
    <row r="829">
      <c r="B829" s="1"/>
      <c r="C829" s="1"/>
      <c r="D829" s="1"/>
      <c r="E829" s="1"/>
      <c r="F829" s="1"/>
    </row>
    <row r="830">
      <c r="B830" s="1"/>
      <c r="C830" s="1"/>
      <c r="D830" s="1"/>
      <c r="E830" s="1"/>
      <c r="F830" s="1"/>
    </row>
    <row r="831">
      <c r="B831" s="1"/>
      <c r="C831" s="1"/>
      <c r="D831" s="1"/>
      <c r="E831" s="1"/>
      <c r="F831" s="1"/>
    </row>
    <row r="832">
      <c r="B832" s="1"/>
      <c r="C832" s="1"/>
      <c r="D832" s="1"/>
      <c r="E832" s="1"/>
      <c r="F832" s="1"/>
    </row>
    <row r="833">
      <c r="B833" s="1"/>
      <c r="C833" s="1"/>
      <c r="D833" s="1"/>
      <c r="E833" s="1"/>
      <c r="F833" s="1"/>
    </row>
    <row r="834">
      <c r="B834" s="1"/>
      <c r="C834" s="1"/>
      <c r="D834" s="1"/>
      <c r="E834" s="1"/>
      <c r="F834" s="1"/>
    </row>
    <row r="835">
      <c r="B835" s="1"/>
      <c r="C835" s="1"/>
      <c r="D835" s="1"/>
      <c r="E835" s="1"/>
      <c r="F835" s="1"/>
    </row>
    <row r="836">
      <c r="B836" s="1"/>
      <c r="C836" s="1"/>
      <c r="D836" s="1"/>
      <c r="E836" s="1"/>
      <c r="F836" s="1"/>
    </row>
    <row r="837">
      <c r="B837" s="1"/>
      <c r="C837" s="1"/>
      <c r="D837" s="1"/>
      <c r="E837" s="1"/>
      <c r="F837" s="1"/>
    </row>
    <row r="838">
      <c r="B838" s="1"/>
      <c r="C838" s="1"/>
      <c r="D838" s="1"/>
      <c r="E838" s="1"/>
      <c r="F838" s="1"/>
    </row>
    <row r="839">
      <c r="B839" s="1"/>
      <c r="C839" s="1"/>
      <c r="D839" s="1"/>
      <c r="E839" s="1"/>
      <c r="F839" s="1"/>
    </row>
    <row r="840">
      <c r="B840" s="1"/>
      <c r="C840" s="1"/>
      <c r="D840" s="1"/>
      <c r="E840" s="1"/>
      <c r="F840" s="1"/>
    </row>
    <row r="841">
      <c r="B841" s="1"/>
      <c r="C841" s="1"/>
      <c r="D841" s="1"/>
      <c r="E841" s="1"/>
      <c r="F841" s="1"/>
    </row>
    <row r="842">
      <c r="B842" s="1"/>
      <c r="C842" s="1"/>
      <c r="D842" s="1"/>
      <c r="E842" s="1"/>
      <c r="F842" s="1"/>
    </row>
    <row r="843">
      <c r="B843" s="1"/>
      <c r="C843" s="1"/>
      <c r="D843" s="1"/>
      <c r="E843" s="1"/>
      <c r="F843" s="1"/>
    </row>
    <row r="844">
      <c r="B844" s="1"/>
      <c r="C844" s="1"/>
      <c r="D844" s="1"/>
      <c r="E844" s="1"/>
      <c r="F844" s="1"/>
    </row>
    <row r="845">
      <c r="B845" s="1"/>
      <c r="C845" s="1"/>
      <c r="D845" s="1"/>
      <c r="E845" s="1"/>
      <c r="F845" s="1"/>
    </row>
    <row r="846">
      <c r="B846" s="1"/>
      <c r="C846" s="1"/>
      <c r="D846" s="1"/>
      <c r="E846" s="1"/>
      <c r="F846" s="1"/>
    </row>
    <row r="847">
      <c r="B847" s="1"/>
      <c r="C847" s="1"/>
      <c r="D847" s="1"/>
      <c r="E847" s="1"/>
      <c r="F847" s="1"/>
    </row>
    <row r="848">
      <c r="B848" s="1"/>
      <c r="C848" s="1"/>
      <c r="D848" s="1"/>
      <c r="E848" s="1"/>
      <c r="F848" s="1"/>
    </row>
    <row r="849">
      <c r="B849" s="1"/>
      <c r="C849" s="1"/>
      <c r="D849" s="1"/>
      <c r="E849" s="1"/>
      <c r="F849" s="1"/>
    </row>
    <row r="850">
      <c r="B850" s="1"/>
      <c r="C850" s="1"/>
      <c r="D850" s="1"/>
      <c r="E850" s="1"/>
      <c r="F850" s="1"/>
    </row>
    <row r="851">
      <c r="B851" s="1"/>
      <c r="C851" s="1"/>
      <c r="D851" s="1"/>
      <c r="E851" s="1"/>
      <c r="F851" s="1"/>
    </row>
    <row r="852">
      <c r="B852" s="1"/>
      <c r="C852" s="1"/>
      <c r="D852" s="1"/>
      <c r="E852" s="1"/>
      <c r="F852" s="1"/>
    </row>
    <row r="853">
      <c r="B853" s="1"/>
      <c r="C853" s="1"/>
      <c r="D853" s="1"/>
      <c r="E853" s="1"/>
      <c r="F853" s="1"/>
    </row>
    <row r="854">
      <c r="B854" s="1"/>
      <c r="C854" s="1"/>
      <c r="D854" s="1"/>
      <c r="E854" s="1"/>
      <c r="F854" s="1"/>
    </row>
    <row r="855">
      <c r="B855" s="1"/>
      <c r="C855" s="1"/>
      <c r="D855" s="1"/>
      <c r="E855" s="1"/>
      <c r="F855" s="1"/>
    </row>
    <row r="856">
      <c r="B856" s="1"/>
      <c r="C856" s="1"/>
      <c r="D856" s="1"/>
      <c r="E856" s="1"/>
      <c r="F856" s="1"/>
    </row>
    <row r="857">
      <c r="B857" s="1"/>
      <c r="C857" s="1"/>
      <c r="D857" s="1"/>
      <c r="E857" s="1"/>
      <c r="F857" s="1"/>
    </row>
    <row r="858">
      <c r="B858" s="1"/>
      <c r="C858" s="1"/>
      <c r="D858" s="1"/>
      <c r="E858" s="1"/>
      <c r="F858" s="1"/>
    </row>
    <row r="859">
      <c r="B859" s="1"/>
      <c r="C859" s="1"/>
      <c r="D859" s="1"/>
      <c r="E859" s="1"/>
      <c r="F859" s="1"/>
    </row>
    <row r="860">
      <c r="B860" s="1"/>
      <c r="C860" s="1"/>
      <c r="D860" s="1"/>
      <c r="E860" s="1"/>
      <c r="F860" s="1"/>
    </row>
    <row r="861">
      <c r="B861" s="1"/>
      <c r="C861" s="1"/>
      <c r="D861" s="1"/>
      <c r="E861" s="1"/>
      <c r="F861" s="1"/>
    </row>
    <row r="862">
      <c r="B862" s="1"/>
      <c r="C862" s="1"/>
      <c r="D862" s="1"/>
      <c r="E862" s="1"/>
      <c r="F862" s="1"/>
    </row>
    <row r="863">
      <c r="B863" s="1"/>
      <c r="C863" s="1"/>
      <c r="D863" s="1"/>
      <c r="E863" s="1"/>
      <c r="F863" s="1"/>
    </row>
    <row r="864">
      <c r="B864" s="1"/>
      <c r="C864" s="1"/>
      <c r="D864" s="1"/>
      <c r="E864" s="1"/>
      <c r="F864" s="1"/>
    </row>
    <row r="865">
      <c r="B865" s="1"/>
      <c r="C865" s="1"/>
      <c r="D865" s="1"/>
      <c r="E865" s="1"/>
      <c r="F865" s="1"/>
    </row>
    <row r="866">
      <c r="B866" s="1"/>
      <c r="C866" s="1"/>
      <c r="D866" s="1"/>
      <c r="E866" s="1"/>
      <c r="F866" s="1"/>
    </row>
    <row r="867">
      <c r="B867" s="1"/>
      <c r="C867" s="1"/>
      <c r="D867" s="1"/>
      <c r="E867" s="1"/>
      <c r="F867" s="1"/>
    </row>
    <row r="868">
      <c r="B868" s="1"/>
      <c r="C868" s="1"/>
      <c r="D868" s="1"/>
      <c r="E868" s="1"/>
      <c r="F868" s="1"/>
    </row>
    <row r="869">
      <c r="B869" s="1"/>
      <c r="C869" s="1"/>
      <c r="D869" s="1"/>
      <c r="E869" s="1"/>
      <c r="F869" s="1"/>
    </row>
    <row r="870">
      <c r="B870" s="1"/>
      <c r="C870" s="1"/>
      <c r="D870" s="1"/>
      <c r="E870" s="1"/>
      <c r="F870" s="1"/>
    </row>
    <row r="871">
      <c r="B871" s="1"/>
      <c r="C871" s="1"/>
      <c r="D871" s="1"/>
      <c r="E871" s="1"/>
      <c r="F871" s="1"/>
    </row>
    <row r="872">
      <c r="B872" s="1"/>
      <c r="C872" s="1"/>
      <c r="D872" s="1"/>
      <c r="E872" s="1"/>
      <c r="F872" s="1"/>
    </row>
    <row r="873">
      <c r="B873" s="1"/>
      <c r="C873" s="1"/>
      <c r="D873" s="1"/>
      <c r="E873" s="1"/>
      <c r="F873" s="1"/>
    </row>
    <row r="874">
      <c r="B874" s="1"/>
      <c r="C874" s="1"/>
      <c r="D874" s="1"/>
      <c r="E874" s="1"/>
      <c r="F874" s="1"/>
    </row>
    <row r="875">
      <c r="B875" s="1"/>
      <c r="C875" s="1"/>
      <c r="D875" s="1"/>
      <c r="E875" s="1"/>
      <c r="F875" s="1"/>
    </row>
    <row r="876">
      <c r="B876" s="1"/>
      <c r="C876" s="1"/>
      <c r="D876" s="1"/>
      <c r="E876" s="1"/>
      <c r="F876" s="1"/>
    </row>
    <row r="877">
      <c r="B877" s="1"/>
      <c r="C877" s="1"/>
      <c r="D877" s="1"/>
      <c r="E877" s="1"/>
      <c r="F877" s="1"/>
    </row>
    <row r="878">
      <c r="B878" s="1"/>
      <c r="C878" s="1"/>
      <c r="D878" s="1"/>
      <c r="E878" s="1"/>
      <c r="F878" s="1"/>
    </row>
    <row r="879">
      <c r="B879" s="1"/>
      <c r="C879" s="1"/>
      <c r="D879" s="1"/>
      <c r="E879" s="1"/>
      <c r="F879" s="1"/>
    </row>
    <row r="880">
      <c r="B880" s="1"/>
      <c r="C880" s="1"/>
      <c r="D880" s="1"/>
      <c r="E880" s="1"/>
      <c r="F880" s="1"/>
    </row>
    <row r="881">
      <c r="B881" s="1"/>
      <c r="C881" s="1"/>
      <c r="D881" s="1"/>
      <c r="E881" s="1"/>
      <c r="F881" s="1"/>
    </row>
    <row r="882">
      <c r="B882" s="1"/>
      <c r="C882" s="1"/>
      <c r="D882" s="1"/>
      <c r="E882" s="1"/>
      <c r="F882" s="1"/>
    </row>
    <row r="883">
      <c r="B883" s="1"/>
      <c r="C883" s="1"/>
      <c r="D883" s="1"/>
      <c r="E883" s="1"/>
      <c r="F883" s="1"/>
    </row>
    <row r="884">
      <c r="B884" s="1"/>
      <c r="C884" s="1"/>
      <c r="D884" s="1"/>
      <c r="E884" s="1"/>
      <c r="F884" s="1"/>
    </row>
    <row r="885">
      <c r="B885" s="1"/>
      <c r="C885" s="1"/>
      <c r="D885" s="1"/>
      <c r="E885" s="1"/>
      <c r="F885" s="1"/>
    </row>
    <row r="886">
      <c r="B886" s="1"/>
      <c r="C886" s="1"/>
      <c r="D886" s="1"/>
      <c r="E886" s="1"/>
      <c r="F886" s="1"/>
    </row>
    <row r="887">
      <c r="B887" s="1"/>
      <c r="C887" s="1"/>
      <c r="D887" s="1"/>
      <c r="E887" s="1"/>
      <c r="F887" s="1"/>
    </row>
    <row r="888">
      <c r="B888" s="1"/>
      <c r="C888" s="1"/>
      <c r="D888" s="1"/>
      <c r="E888" s="1"/>
      <c r="F888" s="1"/>
    </row>
    <row r="889">
      <c r="B889" s="1"/>
      <c r="C889" s="1"/>
      <c r="D889" s="1"/>
      <c r="E889" s="1"/>
      <c r="F889" s="1"/>
    </row>
    <row r="890">
      <c r="B890" s="1"/>
      <c r="C890" s="1"/>
      <c r="D890" s="1"/>
      <c r="E890" s="1"/>
      <c r="F890" s="1"/>
    </row>
    <row r="891">
      <c r="B891" s="1"/>
      <c r="C891" s="1"/>
      <c r="D891" s="1"/>
      <c r="E891" s="1"/>
      <c r="F891" s="1"/>
    </row>
    <row r="892">
      <c r="B892" s="1"/>
      <c r="C892" s="1"/>
      <c r="D892" s="1"/>
      <c r="E892" s="1"/>
      <c r="F892" s="1"/>
    </row>
    <row r="893">
      <c r="B893" s="1"/>
      <c r="C893" s="1"/>
      <c r="D893" s="1"/>
      <c r="E893" s="1"/>
      <c r="F893" s="1"/>
    </row>
    <row r="894">
      <c r="B894" s="1"/>
      <c r="C894" s="1"/>
      <c r="D894" s="1"/>
      <c r="E894" s="1"/>
      <c r="F894" s="1"/>
    </row>
    <row r="895">
      <c r="B895" s="1"/>
      <c r="C895" s="1"/>
      <c r="D895" s="1"/>
      <c r="E895" s="1"/>
      <c r="F895" s="1"/>
    </row>
    <row r="896">
      <c r="B896" s="1"/>
      <c r="C896" s="1"/>
      <c r="D896" s="1"/>
      <c r="E896" s="1"/>
      <c r="F896" s="1"/>
    </row>
    <row r="897">
      <c r="B897" s="1"/>
      <c r="C897" s="1"/>
      <c r="D897" s="1"/>
      <c r="E897" s="1"/>
      <c r="F897" s="1"/>
    </row>
    <row r="898">
      <c r="B898" s="1"/>
      <c r="C898" s="1"/>
      <c r="D898" s="1"/>
      <c r="E898" s="1"/>
      <c r="F898" s="1"/>
    </row>
    <row r="899">
      <c r="B899" s="1"/>
      <c r="C899" s="1"/>
      <c r="D899" s="1"/>
      <c r="E899" s="1"/>
      <c r="F899" s="1"/>
    </row>
    <row r="900">
      <c r="B900" s="1"/>
      <c r="C900" s="1"/>
      <c r="D900" s="1"/>
      <c r="E900" s="1"/>
      <c r="F900" s="1"/>
    </row>
    <row r="901">
      <c r="B901" s="1"/>
      <c r="C901" s="1"/>
      <c r="D901" s="1"/>
      <c r="E901" s="1"/>
      <c r="F901" s="1"/>
    </row>
    <row r="902">
      <c r="B902" s="1"/>
      <c r="C902" s="1"/>
      <c r="D902" s="1"/>
      <c r="E902" s="1"/>
      <c r="F902" s="1"/>
    </row>
    <row r="903">
      <c r="B903" s="1"/>
      <c r="C903" s="1"/>
      <c r="D903" s="1"/>
      <c r="E903" s="1"/>
      <c r="F903" s="1"/>
    </row>
    <row r="904">
      <c r="B904" s="1"/>
      <c r="C904" s="1"/>
      <c r="D904" s="1"/>
      <c r="E904" s="1"/>
      <c r="F904" s="1"/>
    </row>
    <row r="905">
      <c r="B905" s="1"/>
      <c r="C905" s="1"/>
      <c r="D905" s="1"/>
      <c r="E905" s="1"/>
      <c r="F905" s="1"/>
    </row>
    <row r="906">
      <c r="B906" s="1"/>
      <c r="C906" s="1"/>
      <c r="D906" s="1"/>
      <c r="E906" s="1"/>
      <c r="F906" s="1"/>
    </row>
    <row r="907">
      <c r="B907" s="1"/>
      <c r="C907" s="1"/>
      <c r="D907" s="1"/>
      <c r="E907" s="1"/>
      <c r="F907" s="1"/>
    </row>
    <row r="908">
      <c r="B908" s="1"/>
      <c r="C908" s="1"/>
      <c r="D908" s="1"/>
      <c r="E908" s="1"/>
      <c r="F908" s="1"/>
    </row>
    <row r="909">
      <c r="B909" s="1"/>
      <c r="C909" s="1"/>
      <c r="D909" s="1"/>
      <c r="E909" s="1"/>
      <c r="F909" s="1"/>
    </row>
    <row r="910">
      <c r="B910" s="1"/>
      <c r="C910" s="1"/>
      <c r="D910" s="1"/>
      <c r="E910" s="1"/>
      <c r="F910" s="1"/>
    </row>
    <row r="911">
      <c r="B911" s="1"/>
      <c r="C911" s="1"/>
      <c r="D911" s="1"/>
      <c r="E911" s="1"/>
      <c r="F911" s="1"/>
    </row>
    <row r="912">
      <c r="B912" s="1"/>
      <c r="C912" s="1"/>
      <c r="D912" s="1"/>
      <c r="E912" s="1"/>
      <c r="F912" s="1"/>
    </row>
    <row r="913">
      <c r="B913" s="1"/>
      <c r="C913" s="1"/>
      <c r="D913" s="1"/>
      <c r="E913" s="1"/>
      <c r="F913" s="1"/>
    </row>
    <row r="914">
      <c r="B914" s="1"/>
      <c r="C914" s="1"/>
      <c r="D914" s="1"/>
      <c r="E914" s="1"/>
      <c r="F914" s="1"/>
    </row>
    <row r="915">
      <c r="B915" s="1"/>
      <c r="C915" s="1"/>
      <c r="D915" s="1"/>
      <c r="E915" s="1"/>
      <c r="F915" s="1"/>
    </row>
    <row r="916">
      <c r="B916" s="1"/>
      <c r="C916" s="1"/>
      <c r="D916" s="1"/>
      <c r="E916" s="1"/>
      <c r="F916" s="1"/>
    </row>
    <row r="917">
      <c r="B917" s="1"/>
      <c r="C917" s="1"/>
      <c r="D917" s="1"/>
      <c r="E917" s="1"/>
      <c r="F917" s="1"/>
    </row>
    <row r="918">
      <c r="B918" s="1"/>
      <c r="C918" s="1"/>
      <c r="D918" s="1"/>
      <c r="E918" s="1"/>
      <c r="F918" s="1"/>
    </row>
    <row r="919">
      <c r="B919" s="1"/>
      <c r="C919" s="1"/>
      <c r="D919" s="1"/>
      <c r="E919" s="1"/>
      <c r="F919" s="1"/>
    </row>
  </sheetData>
  <conditionalFormatting sqref="C2:ZZ4 C4:XFD4 J2:XFD11 F7:ZZ11 A2:A11 F5:ZZ5">
    <cfRule type="cellIs" dxfId="28" priority="30" operator="notEqual">
      <formula>""</formula>
    </cfRule>
  </conditionalFormatting>
  <conditionalFormatting sqref="A13:XFD5107">
    <cfRule type="cellIs" dxfId="27" priority="31" operator="notEqual">
      <formula>""</formula>
    </cfRule>
  </conditionalFormatting>
  <conditionalFormatting sqref="A5 F5:XFD5">
    <cfRule type="cellIs" dxfId="26" priority="29" operator="greaterThan">
      <formula>0</formula>
    </cfRule>
  </conditionalFormatting>
  <conditionalFormatting sqref="F5:AEP5 F6:ZZ6">
    <cfRule type="cellIs" dxfId="25" priority="27" operator="notEqual">
      <formula>""</formula>
    </cfRule>
    <cfRule type="cellIs" dxfId="24" priority="28" operator="notEqual">
      <formula>0</formula>
    </cfRule>
  </conditionalFormatting>
  <conditionalFormatting sqref="F6:AEP6">
    <cfRule type="cellIs" dxfId="23" priority="25" operator="notEqual">
      <formula>""</formula>
    </cfRule>
    <cfRule type="cellIs" dxfId="22" priority="26" operator="greaterThan">
      <formula>0</formula>
    </cfRule>
  </conditionalFormatting>
  <conditionalFormatting sqref="F11:AEP11">
    <cfRule type="cellIs" dxfId="21" priority="21" operator="notEqual">
      <formula>""</formula>
    </cfRule>
    <cfRule type="cellIs" dxfId="20" priority="22" operator="greaterThan">
      <formula>0</formula>
    </cfRule>
  </conditionalFormatting>
  <conditionalFormatting sqref="C14:ZZ4364">
    <cfRule type="cellIs" dxfId="19" priority="11" operator="equal">
      <formula>"Failed"</formula>
    </cfRule>
    <cfRule type="cellIs" dxfId="18" priority="12" operator="equal">
      <formula>"Passed"</formula>
    </cfRule>
    <cfRule type="cellIs" dxfId="17" priority="16" operator="equal">
      <formula>"Not Run"</formula>
    </cfRule>
    <cfRule type="cellIs" dxfId="16" priority="17" operator="equal">
      <formula>"Fail"</formula>
    </cfRule>
    <cfRule type="cellIs" dxfId="15" priority="19" operator="equal">
      <formula>"Warning"</formula>
    </cfRule>
    <cfRule type="cellIs" dxfId="14" priority="20" operator="equal">
      <formula>"Pass"</formula>
    </cfRule>
    <cfRule type="cellIs" dxfId="13" priority="4" operator="equal">
      <formula>"Justified"</formula>
    </cfRule>
    <cfRule type="cellIs" dxfId="12" priority="3" operator="equal">
      <formula>"Incomplete"</formula>
    </cfRule>
    <cfRule type="cellIs" dxfId="11" priority="2" operator="equal">
      <formula>"Information"</formula>
    </cfRule>
    <cfRule type="cellIs" dxfId="10" priority="1" operator="equal">
      <formula>"NotRun"</formula>
    </cfRule>
  </conditionalFormatting>
  <conditionalFormatting sqref="B13:ZZ13">
    <cfRule type="cellIs" dxfId="9" priority="15" operator="notEqual">
      <formula>""</formula>
    </cfRule>
  </conditionalFormatting>
  <conditionalFormatting sqref="A2:XFD4 A5:B11 F5:XFD11">
    <cfRule type="endsWith" dxfId="8" priority="14" stopIfTrue="true" operator="endsWith" text=":">
      <formula>RIGHT(A2,1)=":"</formula>
    </cfRule>
  </conditionalFormatting>
  <conditionalFormatting sqref="A8 F8:XFD8">
    <cfRule type="cellIs" dxfId="7" priority="10" operator="greaterThan">
      <formula>0</formula>
    </cfRule>
  </conditionalFormatting>
  <conditionalFormatting sqref="F8:AEP8 F9:ZZ9">
    <cfRule type="cellIs" dxfId="6" priority="8" operator="notEqual">
      <formula>""</formula>
    </cfRule>
    <cfRule type="cellIs" dxfId="5" priority="9" operator="notEqual">
      <formula>0</formula>
    </cfRule>
  </conditionalFormatting>
  <conditionalFormatting sqref="F9:AEP9">
    <cfRule type="cellIs" dxfId="4" priority="6" operator="notEqual">
      <formula>""</formula>
    </cfRule>
    <cfRule type="cellIs" dxfId="3" priority="7" operator="greaterThan">
      <formula>0</formula>
    </cfRule>
  </conditionalFormatting>
  <conditionalFormatting sqref="F10:AEP10">
    <cfRule type="cellIs" dxfId="2" priority="24" operator="greaterThan">
      <formula>0</formula>
    </cfRule>
    <cfRule type="cellIs" dxfId="1" priority="23" operator="notEqual">
      <formula>""</formula>
    </cfRule>
  </conditionalFormatting>
  <conditionalFormatting sqref="A7:B7 F7:XFD7">
    <cfRule type="cellIs" dxfId="0" priority="5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"/>
  <sheetViews>
    <sheetView showRowColHeaders="0" zoomScale="235" zoomScaleNormal="235" workbookViewId="0">
      <selection activeCell="C11" sqref="C11"/>
    </sheetView>
  </sheetViews>
  <sheetFormatPr defaultColWidth="11.54296875" defaultRowHeight="14.5" x14ac:dyDescent="0.35"/>
  <cols>
    <col min="1" max="1" width="3.08984375" style="6" customWidth="1"/>
    <col min="2" max="16384" width="11.54296875" style="6"/>
  </cols>
  <sheetData>
    <row r="2" spans="2:3" ht="18.5" x14ac:dyDescent="0.45">
      <c r="B2" s="120" t="s">
        <v>5</v>
      </c>
      <c r="C2" s="120"/>
    </row>
    <row r="3" spans="2:3" x14ac:dyDescent="0.35">
      <c r="B3" s="7" t="s">
        <v>2</v>
      </c>
      <c r="C3" s="17" t="s">
        <v>8</v>
      </c>
    </row>
  </sheetData>
  <mergeCells count="1">
    <mergeCell ref="B2:C2"/>
  </mergeCells>
  <dataValidations count="1">
    <dataValidation type="list" allowBlank="1" showInputMessage="1" showErrorMessage="1" sqref="C3">
      <formula1>"YES, NO"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D84"/>
  <sheetViews>
    <sheetView workbookViewId="0">
      <selection activeCell="D10" sqref="D10"/>
    </sheetView>
  </sheetViews>
  <sheetFormatPr defaultColWidth="11.54296875" defaultRowHeight="14.5" x14ac:dyDescent="0.35"/>
  <cols>
    <col min="1" max="1" width="3.36328125" style="27" customWidth="1"/>
    <col min="2" max="2" width="12.08984375" style="27" customWidth="1"/>
    <col min="3" max="3" width="20" style="27" customWidth="1"/>
    <col min="4" max="4" width="109.6328125" style="27" customWidth="1"/>
    <col min="5" max="16384" width="11.54296875" style="27"/>
  </cols>
  <sheetData>
    <row r="1" spans="2:4" ht="15" thickBot="1" x14ac:dyDescent="0.4"/>
    <row r="2" spans="2:4" ht="18.5" x14ac:dyDescent="0.45">
      <c r="B2" s="28" t="s">
        <v>15</v>
      </c>
      <c r="C2" s="29" t="s">
        <v>16</v>
      </c>
      <c r="D2" s="30" t="s">
        <v>18</v>
      </c>
    </row>
    <row r="3" spans="2:4" x14ac:dyDescent="0.35">
      <c r="B3" s="31">
        <v>6</v>
      </c>
      <c r="C3" s="32">
        <v>42760</v>
      </c>
      <c r="D3" s="33" t="s">
        <v>17</v>
      </c>
    </row>
    <row r="4" spans="2:4" x14ac:dyDescent="0.35">
      <c r="B4" s="34"/>
      <c r="C4" s="35"/>
      <c r="D4" s="33"/>
    </row>
    <row r="5" spans="2:4" x14ac:dyDescent="0.35">
      <c r="B5" s="34"/>
      <c r="C5" s="35"/>
      <c r="D5" s="33"/>
    </row>
    <row r="6" spans="2:4" x14ac:dyDescent="0.35">
      <c r="B6" s="34"/>
      <c r="C6" s="35"/>
      <c r="D6" s="33"/>
    </row>
    <row r="7" spans="2:4" x14ac:dyDescent="0.35">
      <c r="B7" s="34"/>
      <c r="C7" s="35"/>
      <c r="D7" s="33"/>
    </row>
    <row r="8" spans="2:4" x14ac:dyDescent="0.35">
      <c r="B8" s="34"/>
      <c r="C8" s="35"/>
      <c r="D8" s="33"/>
    </row>
    <row r="9" spans="2:4" x14ac:dyDescent="0.35">
      <c r="B9" s="34"/>
      <c r="C9" s="35"/>
      <c r="D9" s="33"/>
    </row>
    <row r="10" spans="2:4" x14ac:dyDescent="0.35">
      <c r="B10" s="34"/>
      <c r="C10" s="35"/>
      <c r="D10" s="33"/>
    </row>
    <row r="11" spans="2:4" x14ac:dyDescent="0.35">
      <c r="B11" s="34"/>
      <c r="C11" s="35"/>
      <c r="D11" s="33"/>
    </row>
    <row r="12" spans="2:4" x14ac:dyDescent="0.35">
      <c r="B12" s="34"/>
      <c r="C12" s="35"/>
      <c r="D12" s="33"/>
    </row>
    <row r="13" spans="2:4" x14ac:dyDescent="0.35">
      <c r="B13" s="34"/>
      <c r="C13" s="35"/>
      <c r="D13" s="33"/>
    </row>
    <row r="14" spans="2:4" x14ac:dyDescent="0.35">
      <c r="B14" s="34"/>
      <c r="C14" s="35"/>
      <c r="D14" s="33"/>
    </row>
    <row r="15" spans="2:4" x14ac:dyDescent="0.35">
      <c r="B15" s="34"/>
      <c r="C15" s="35"/>
      <c r="D15" s="33"/>
    </row>
    <row r="16" spans="2:4" x14ac:dyDescent="0.35">
      <c r="B16" s="34"/>
      <c r="C16" s="35"/>
      <c r="D16" s="33"/>
    </row>
    <row r="17" spans="2:4" x14ac:dyDescent="0.35">
      <c r="B17" s="34"/>
      <c r="C17" s="35"/>
      <c r="D17" s="33"/>
    </row>
    <row r="18" spans="2:4" x14ac:dyDescent="0.35">
      <c r="B18" s="34"/>
      <c r="C18" s="35"/>
      <c r="D18" s="33"/>
    </row>
    <row r="19" spans="2:4" x14ac:dyDescent="0.35">
      <c r="B19" s="34"/>
      <c r="C19" s="35"/>
      <c r="D19" s="33"/>
    </row>
    <row r="20" spans="2:4" x14ac:dyDescent="0.35">
      <c r="B20" s="34"/>
      <c r="C20" s="35"/>
      <c r="D20" s="33"/>
    </row>
    <row r="21" spans="2:4" x14ac:dyDescent="0.35">
      <c r="B21" s="34"/>
      <c r="C21" s="35"/>
      <c r="D21" s="33"/>
    </row>
    <row r="22" spans="2:4" x14ac:dyDescent="0.35">
      <c r="B22" s="34"/>
      <c r="C22" s="35"/>
      <c r="D22" s="33"/>
    </row>
    <row r="23" spans="2:4" x14ac:dyDescent="0.35">
      <c r="B23" s="34"/>
      <c r="C23" s="35"/>
      <c r="D23" s="33"/>
    </row>
    <row r="24" spans="2:4" x14ac:dyDescent="0.35">
      <c r="B24" s="34"/>
      <c r="C24" s="35"/>
      <c r="D24" s="33"/>
    </row>
    <row r="25" spans="2:4" x14ac:dyDescent="0.35">
      <c r="B25" s="34"/>
      <c r="C25" s="35"/>
      <c r="D25" s="33"/>
    </row>
    <row r="26" spans="2:4" x14ac:dyDescent="0.35">
      <c r="B26" s="34"/>
      <c r="C26" s="35"/>
      <c r="D26" s="33"/>
    </row>
    <row r="27" spans="2:4" x14ac:dyDescent="0.35">
      <c r="B27" s="34"/>
      <c r="C27" s="35"/>
      <c r="D27" s="33"/>
    </row>
    <row r="28" spans="2:4" x14ac:dyDescent="0.35">
      <c r="B28" s="34"/>
      <c r="C28" s="35"/>
      <c r="D28" s="33"/>
    </row>
    <row r="29" spans="2:4" x14ac:dyDescent="0.35">
      <c r="B29" s="34"/>
      <c r="C29" s="35"/>
      <c r="D29" s="33"/>
    </row>
    <row r="30" spans="2:4" x14ac:dyDescent="0.35">
      <c r="B30" s="34"/>
      <c r="C30" s="35"/>
      <c r="D30" s="33"/>
    </row>
    <row r="31" spans="2:4" x14ac:dyDescent="0.35">
      <c r="B31" s="34"/>
      <c r="C31" s="35"/>
      <c r="D31" s="33"/>
    </row>
    <row r="32" spans="2:4" x14ac:dyDescent="0.35">
      <c r="B32" s="34"/>
      <c r="C32" s="35"/>
      <c r="D32" s="33"/>
    </row>
    <row r="33" spans="2:4" x14ac:dyDescent="0.35">
      <c r="B33" s="34"/>
      <c r="C33" s="35"/>
      <c r="D33" s="33"/>
    </row>
    <row r="34" spans="2:4" x14ac:dyDescent="0.35">
      <c r="B34" s="34"/>
      <c r="C34" s="35"/>
      <c r="D34" s="33"/>
    </row>
    <row r="35" spans="2:4" x14ac:dyDescent="0.35">
      <c r="B35" s="34"/>
      <c r="C35" s="35"/>
      <c r="D35" s="33"/>
    </row>
    <row r="36" spans="2:4" x14ac:dyDescent="0.35">
      <c r="B36" s="34"/>
      <c r="C36" s="35"/>
      <c r="D36" s="33"/>
    </row>
    <row r="37" spans="2:4" x14ac:dyDescent="0.35">
      <c r="B37" s="34"/>
      <c r="C37" s="35"/>
      <c r="D37" s="33"/>
    </row>
    <row r="38" spans="2:4" x14ac:dyDescent="0.35">
      <c r="B38" s="34"/>
      <c r="C38" s="35"/>
      <c r="D38" s="33"/>
    </row>
    <row r="39" spans="2:4" x14ac:dyDescent="0.35">
      <c r="B39" s="34"/>
      <c r="C39" s="35"/>
      <c r="D39" s="33"/>
    </row>
    <row r="40" spans="2:4" x14ac:dyDescent="0.35">
      <c r="B40" s="34"/>
      <c r="C40" s="35"/>
      <c r="D40" s="33"/>
    </row>
    <row r="41" spans="2:4" x14ac:dyDescent="0.35">
      <c r="B41" s="34"/>
      <c r="C41" s="35"/>
      <c r="D41" s="33"/>
    </row>
    <row r="42" spans="2:4" x14ac:dyDescent="0.35">
      <c r="B42" s="34"/>
      <c r="C42" s="35"/>
      <c r="D42" s="33"/>
    </row>
    <row r="43" spans="2:4" x14ac:dyDescent="0.35">
      <c r="B43" s="34"/>
      <c r="C43" s="35"/>
      <c r="D43" s="33"/>
    </row>
    <row r="44" spans="2:4" x14ac:dyDescent="0.35">
      <c r="B44" s="34"/>
      <c r="C44" s="35"/>
      <c r="D44" s="33"/>
    </row>
    <row r="45" spans="2:4" x14ac:dyDescent="0.35">
      <c r="B45" s="34"/>
      <c r="C45" s="35"/>
      <c r="D45" s="33"/>
    </row>
    <row r="46" spans="2:4" x14ac:dyDescent="0.35">
      <c r="B46" s="34"/>
      <c r="C46" s="35"/>
      <c r="D46" s="33"/>
    </row>
    <row r="47" spans="2:4" x14ac:dyDescent="0.35">
      <c r="B47" s="34"/>
      <c r="C47" s="35"/>
      <c r="D47" s="33"/>
    </row>
    <row r="48" spans="2:4" x14ac:dyDescent="0.35">
      <c r="B48" s="34"/>
      <c r="C48" s="35"/>
      <c r="D48" s="33"/>
    </row>
    <row r="49" spans="2:4" x14ac:dyDescent="0.35">
      <c r="B49" s="34"/>
      <c r="C49" s="35"/>
      <c r="D49" s="33"/>
    </row>
    <row r="50" spans="2:4" x14ac:dyDescent="0.35">
      <c r="B50" s="34"/>
      <c r="C50" s="35"/>
      <c r="D50" s="33"/>
    </row>
    <row r="51" spans="2:4" x14ac:dyDescent="0.35">
      <c r="B51" s="34"/>
      <c r="C51" s="35"/>
      <c r="D51" s="33"/>
    </row>
    <row r="52" spans="2:4" x14ac:dyDescent="0.35">
      <c r="B52" s="34"/>
      <c r="C52" s="35"/>
      <c r="D52" s="33"/>
    </row>
    <row r="53" spans="2:4" x14ac:dyDescent="0.35">
      <c r="B53" s="34"/>
      <c r="C53" s="35"/>
      <c r="D53" s="33"/>
    </row>
    <row r="54" spans="2:4" x14ac:dyDescent="0.35">
      <c r="B54" s="34"/>
      <c r="C54" s="35"/>
      <c r="D54" s="33"/>
    </row>
    <row r="55" spans="2:4" x14ac:dyDescent="0.35">
      <c r="B55" s="34"/>
      <c r="C55" s="35"/>
      <c r="D55" s="33"/>
    </row>
    <row r="56" spans="2:4" x14ac:dyDescent="0.35">
      <c r="B56" s="34"/>
      <c r="C56" s="35"/>
      <c r="D56" s="33"/>
    </row>
    <row r="57" spans="2:4" x14ac:dyDescent="0.35">
      <c r="B57" s="34"/>
      <c r="C57" s="35"/>
      <c r="D57" s="33"/>
    </row>
    <row r="58" spans="2:4" x14ac:dyDescent="0.35">
      <c r="B58" s="34"/>
      <c r="C58" s="35"/>
      <c r="D58" s="33"/>
    </row>
    <row r="59" spans="2:4" x14ac:dyDescent="0.35">
      <c r="B59" s="34"/>
      <c r="C59" s="35"/>
      <c r="D59" s="33"/>
    </row>
    <row r="60" spans="2:4" x14ac:dyDescent="0.35">
      <c r="B60" s="34"/>
      <c r="C60" s="35"/>
      <c r="D60" s="33"/>
    </row>
    <row r="61" spans="2:4" x14ac:dyDescent="0.35">
      <c r="B61" s="34"/>
      <c r="C61" s="35"/>
      <c r="D61" s="33"/>
    </row>
    <row r="62" spans="2:4" x14ac:dyDescent="0.35">
      <c r="B62" s="34"/>
      <c r="C62" s="35"/>
      <c r="D62" s="33"/>
    </row>
    <row r="63" spans="2:4" x14ac:dyDescent="0.35">
      <c r="B63" s="34"/>
      <c r="C63" s="35"/>
      <c r="D63" s="33"/>
    </row>
    <row r="64" spans="2:4" x14ac:dyDescent="0.35">
      <c r="B64" s="34"/>
      <c r="C64" s="35"/>
      <c r="D64" s="33"/>
    </row>
    <row r="65" spans="2:4" x14ac:dyDescent="0.35">
      <c r="B65" s="34"/>
      <c r="C65" s="35"/>
      <c r="D65" s="33"/>
    </row>
    <row r="66" spans="2:4" x14ac:dyDescent="0.35">
      <c r="B66" s="34"/>
      <c r="C66" s="35"/>
      <c r="D66" s="33"/>
    </row>
    <row r="67" spans="2:4" x14ac:dyDescent="0.35">
      <c r="B67" s="34"/>
      <c r="C67" s="35"/>
      <c r="D67" s="33"/>
    </row>
    <row r="68" spans="2:4" x14ac:dyDescent="0.35">
      <c r="B68" s="34"/>
      <c r="C68" s="35"/>
      <c r="D68" s="33"/>
    </row>
    <row r="69" spans="2:4" x14ac:dyDescent="0.35">
      <c r="B69" s="34"/>
      <c r="C69" s="35"/>
      <c r="D69" s="33"/>
    </row>
    <row r="70" spans="2:4" x14ac:dyDescent="0.35">
      <c r="B70" s="34"/>
      <c r="C70" s="35"/>
      <c r="D70" s="33"/>
    </row>
    <row r="71" spans="2:4" x14ac:dyDescent="0.35">
      <c r="B71" s="34"/>
      <c r="C71" s="35"/>
      <c r="D71" s="33"/>
    </row>
    <row r="72" spans="2:4" x14ac:dyDescent="0.35">
      <c r="B72" s="34"/>
      <c r="C72" s="35"/>
      <c r="D72" s="33"/>
    </row>
    <row r="73" spans="2:4" x14ac:dyDescent="0.35">
      <c r="B73" s="34"/>
      <c r="C73" s="35"/>
      <c r="D73" s="33"/>
    </row>
    <row r="74" spans="2:4" x14ac:dyDescent="0.35">
      <c r="B74" s="34"/>
      <c r="C74" s="35"/>
      <c r="D74" s="33"/>
    </row>
    <row r="75" spans="2:4" x14ac:dyDescent="0.35">
      <c r="B75" s="34"/>
      <c r="C75" s="35"/>
      <c r="D75" s="33"/>
    </row>
    <row r="76" spans="2:4" x14ac:dyDescent="0.35">
      <c r="B76" s="34"/>
      <c r="C76" s="35"/>
      <c r="D76" s="33"/>
    </row>
    <row r="77" spans="2:4" x14ac:dyDescent="0.35">
      <c r="B77" s="34"/>
      <c r="C77" s="35"/>
      <c r="D77" s="33"/>
    </row>
    <row r="78" spans="2:4" x14ac:dyDescent="0.35">
      <c r="B78" s="34"/>
      <c r="C78" s="35"/>
      <c r="D78" s="33"/>
    </row>
    <row r="79" spans="2:4" x14ac:dyDescent="0.35">
      <c r="B79" s="34"/>
      <c r="C79" s="35"/>
      <c r="D79" s="33"/>
    </row>
    <row r="80" spans="2:4" x14ac:dyDescent="0.35">
      <c r="B80" s="34"/>
      <c r="C80" s="35"/>
      <c r="D80" s="33"/>
    </row>
    <row r="81" spans="2:4" x14ac:dyDescent="0.35">
      <c r="B81" s="34"/>
      <c r="C81" s="35"/>
      <c r="D81" s="33"/>
    </row>
    <row r="82" spans="2:4" x14ac:dyDescent="0.35">
      <c r="B82" s="34"/>
      <c r="C82" s="35"/>
      <c r="D82" s="33"/>
    </row>
    <row r="83" spans="2:4" x14ac:dyDescent="0.35">
      <c r="B83" s="34"/>
      <c r="C83" s="35"/>
      <c r="D83" s="33"/>
    </row>
    <row r="84" spans="2:4" ht="15" thickBot="1" x14ac:dyDescent="0.4">
      <c r="B84" s="36"/>
      <c r="C84" s="37"/>
      <c r="D84" s="3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Document Control</vt:lpstr>
      <vt:lpstr>Header</vt:lpstr>
      <vt:lpstr>ModelAdvisorResults</vt:lpstr>
      <vt:lpstr>Config</vt:lpstr>
      <vt:lpstr>Template_History</vt:lpstr>
    </vt:vector>
  </TitlesOfParts>
  <Company>Valeo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Sascha Tenkleve</dc:creator>
  <cp:lastModifiedBy>Mohamed ADEL-ABDELKHALEQ</cp:lastModifiedBy>
  <dcterms:created xsi:type="dcterms:W3CDTF">2016-03-14T08:58:36Z</dcterms:created>
  <dcterms:modified xsi:type="dcterms:W3CDTF">2025-05-11T11:30:44Z</dcterms:modified>
</cp:coreProperties>
</file>